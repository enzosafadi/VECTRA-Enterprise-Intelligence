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drawings/charts/chart4.xml" ContentType="application/vnd.openxmlformats-officedocument.drawingml.char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405329bcc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CENTER" sheetId="1" r:id="R16198b567b6343b8"/>
    <x:sheet xmlns:r="http://schemas.openxmlformats.org/officeDocument/2006/relationships" name="ASSUMPTIONS" sheetId="2" r:id="Rbbfe26c0967f4b47"/>
    <x:sheet xmlns:r="http://schemas.openxmlformats.org/officeDocument/2006/relationships" name="FINANCIALS" sheetId="3" r:id="R718032c679e94e9e"/>
    <x:sheet xmlns:r="http://schemas.openxmlformats.org/officeDocument/2006/relationships" name="OPERATIONS" sheetId="4" r:id="R5b5a8d4d34394b56"/>
    <x:sheet xmlns:r="http://schemas.openxmlformats.org/officeDocument/2006/relationships" name="WORKFORCE" sheetId="5" r:id="R6ac7c35f402f4657"/>
    <x:sheet xmlns:r="http://schemas.openxmlformats.org/officeDocument/2006/relationships" name="PROJECTS" sheetId="6" r:id="R63b3482ed40046af"/>
    <x:sheet xmlns:r="http://schemas.openxmlformats.org/officeDocument/2006/relationships" name="RISK REGISTER" sheetId="7" r:id="Rf0115e83202b4680"/>
    <x:sheet xmlns:r="http://schemas.openxmlformats.org/officeDocument/2006/relationships" name="SCENARIOS" sheetId="8" r:id="R84f2ea61b5ce462d"/>
    <x:sheet xmlns:r="http://schemas.openxmlformats.org/officeDocument/2006/relationships" name="DATA DICTIONARY" sheetId="9" r:id="R20ef8e457be94204"/>
    <x:sheet xmlns:r="http://schemas.openxmlformats.org/officeDocument/2006/relationships" name="GEO INTELLIGENCE" sheetId="10" r:id="Rdb546b96333548b9"/>
    <x:sheet xmlns:r="http://schemas.openxmlformats.org/officeDocument/2006/relationships" name="PLANT NETWORK MAP" sheetId="11" r:id="R192e85c6297a4b8d"/>
    <x:sheet xmlns:r="http://schemas.openxmlformats.org/officeDocument/2006/relationships" name="OPERATIONS DATA" sheetId="12" r:id="R42a6398a59b8477e"/>
    <x:sheet xmlns:r="http://schemas.openxmlformats.org/officeDocument/2006/relationships" name="FINANCE DATA" sheetId="13" r:id="Rf70c003b2e3f47b8"/>
    <x:sheet xmlns:r="http://schemas.openxmlformats.org/officeDocument/2006/relationships" name="WORKFORCE DATA" sheetId="14" r:id="Rb94f0b17a66f4814"/>
    <x:sheet xmlns:r="http://schemas.openxmlformats.org/officeDocument/2006/relationships" name="INVENTORY DATA" sheetId="15" r:id="R6835293e99b64a6c"/>
    <x:sheet xmlns:r="http://schemas.openxmlformats.org/officeDocument/2006/relationships" name="SCENARIO ENGINE" sheetId="16" r:id="R111042cddffe43d6"/>
    <x:sheet xmlns:r="http://schemas.openxmlformats.org/officeDocument/2006/relationships" name="ISSUE REGISTER" sheetId="17" r:id="R4ea32f4a63744415"/>
    <x:sheet xmlns:r="http://schemas.openxmlformats.org/officeDocument/2006/relationships" name="EXECUTIVE COCKPIT" sheetId="18" r:id="Rc9165128356640db"/>
    <x:sheet xmlns:r="http://schemas.openxmlformats.org/officeDocument/2006/relationships" name="START HERE" sheetId="19" r:id="R8a222e0cc070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 &quot;CAD&quot;"/>
    <x:numFmt numFmtId="201" formatCode="0.0%"/>
    <x:numFmt numFmtId="202" formatCode="#,##0;[Red](#,##0)"/>
    <x:numFmt numFmtId="203" formatCode="0%"/>
    <x:numFmt numFmtId="204" formatCode="$#,##0"/>
    <x:numFmt numFmtId="205" formatCode="0.0000"/>
    <x:numFmt numFmtId="206" formatCode="#,##0"/>
  </x:numFmts>
  <x:fonts count="1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sz val="11"/>
      <x:color rgb="FFD2E7EB"/>
      <x:name val="Carlito"/>
    </x:font>
    <x:font>
      <x:b/>
      <x:sz val="11"/>
      <x:name val="Carlito"/>
    </x:font>
    <x:font>
      <x:sz val="11"/>
      <x:color rgb="FF087E8B"/>
      <x:name val="Carlito"/>
    </x:font>
    <x:font>
      <x:b/>
      <x:sz val="11"/>
      <x:color rgb="FF087E8B"/>
      <x:name val="Carlito"/>
    </x:font>
    <x:font>
      <x:sz val="11"/>
      <x:color rgb="FF596579"/>
      <x:name val="Carlito"/>
    </x:font>
    <x:font>
      <x:sz val="11"/>
      <x:color rgb="FF10253F"/>
      <x:name val="Carlito"/>
    </x:font>
    <x:font>
      <x:b/>
      <x:sz val="11"/>
      <x:color rgb="FF10253F"/>
      <x:name val="Carlito"/>
    </x:font>
    <x:font>
      <x:sz val="10"/>
      <x:color rgb="FF10253F"/>
      <x:name val="Carlito"/>
    </x:font>
    <x:font>
      <x:b/>
      <x:sz val="10"/>
      <x:color rgb="FF10253F"/>
      <x:name val="Carlito"/>
    </x:font>
    <x:font>
      <x:b/>
      <x:sz val="20"/>
      <x:color rgb="FFFFFFFF"/>
      <x:name val="Carlito"/>
    </x:font>
    <x:font>
      <x:sz val="11"/>
      <x:color rgb="FF236D8C"/>
      <x:name val="Carlito"/>
    </x:font>
    <x:font>
      <x:b/>
      <x:sz val="18"/>
      <x:color rgb="FFFFFFFF"/>
      <x:name val="Carlito"/>
    </x:font>
    <x:font>
      <x:sz val="11"/>
      <x:color rgb="FFB7C9DC"/>
      <x:name val="Carlito"/>
    </x:font>
    <x:font>
      <x:sz val="11"/>
      <x:color rgb="FF52677C"/>
      <x:name val="Carlito"/>
    </x:font>
    <x:font>
      <x:b/>
      <x:sz val="16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4243B"/>
      </x:patternFill>
    </x:fill>
    <x:fill>
      <x:patternFill patternType="solid">
        <x:fgColor rgb="FF087E8B"/>
      </x:patternFill>
    </x:fill>
    <x:fill>
      <x:patternFill patternType="solid">
        <x:fgColor rgb="FFE8F4F5"/>
      </x:patternFill>
    </x:fill>
    <x:fill>
      <x:patternFill patternType="solid">
        <x:fgColor rgb="FF10253F"/>
      </x:patternFill>
    </x:fill>
    <x:fill>
      <x:patternFill patternType="solid">
        <x:fgColor rgb="FF163B60"/>
      </x:patternFill>
    </x:fill>
    <x:fill>
      <x:patternFill patternType="solid">
        <x:fgColor rgb="FFEAF2F6"/>
      </x:patternFill>
    </x:fill>
    <x:fill>
      <x:patternFill patternType="solid">
        <x:fgColor rgb="FF10243A"/>
      </x:patternFill>
    </x:fill>
    <x:fill>
      <x:patternFill patternType="solid">
        <x:fgColor rgb="FF173C59"/>
      </x:patternFill>
    </x:fill>
    <x:fill>
      <x:patternFill patternType="solid">
        <x:fgColor rgb="FFEDF4F8"/>
      </x:patternFill>
    </x:fill>
    <x:fill>
      <x:patternFill patternType="solid">
        <x:fgColor rgb="FF236D8C"/>
      </x:patternFill>
    </x:fill>
    <x:fill>
      <x:patternFill patternType="solid">
        <x:fgColor rgb="FF10243C"/>
      </x:patternFill>
    </x:fill>
    <x:fill>
      <x:patternFill patternType="solid">
        <x:fgColor rgb="FF10243A"/>
      </x:patternFill>
    </x:fill>
    <x:fill>
      <x:patternFill patternType="solid">
        <x:fgColor rgb="FF007E87"/>
      </x:patternFill>
    </x:fill>
  </x:fills>
  <x:borders count="2">
    <x:border/>
    <x:border/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1" xfId="0" applyNumberFormat="1" applyFont="1" applyFill="1" applyBorder="1"/>
    <x:xf numFmtId="201" fontId="5" fillId="4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8" fillId="0" borderId="0" xfId="0" applyNumberFormat="1" applyFont="1" applyFill="1" applyBorder="1"/>
    <x:xf numFmtId="0" fontId="0" fillId="0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2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10" fillId="4" borderId="0" xfId="0" applyNumberFormat="1" applyFont="1" applyFill="1" applyBorder="1"/>
    <x:xf numFmtId="201" fontId="10" fillId="4" borderId="0" xfId="0" applyNumberFormat="1" applyFont="1" applyFill="1" applyBorder="1"/>
    <x:xf numFmtId="0" fontId="11" fillId="0" borderId="0" xfId="0" applyNumberFormat="1" applyFont="1" applyFill="1" applyBorder="1"/>
    <x:xf numFmtId="202" fontId="11" fillId="0" borderId="0" xfId="0" applyNumberFormat="1" applyFont="1" applyFill="1" applyBorder="1"/>
    <x:xf numFmtId="201" fontId="11" fillId="0" borderId="0" xfId="0" applyNumberFormat="1" applyFont="1" applyFill="1" applyBorder="1"/>
    <x:xf numFmtId="0" fontId="12" fillId="4" borderId="0" xfId="0" applyNumberFormat="1" applyFont="1" applyFill="1" applyBorder="1"/>
    <x:xf numFmtId="201" fontId="12" fillId="4" borderId="0" xfId="0" applyNumberFormat="1" applyFont="1" applyFill="1" applyBorder="1"/>
    <x:xf numFmtId="203" fontId="9" fillId="0" borderId="0" xfId="0" applyNumberFormat="1" applyFont="1" applyFill="1" applyBorder="1"/>
    <x:xf numFmtId="203" fontId="11" fillId="0" borderId="0" xfId="0" applyNumberFormat="1" applyFont="1" applyFill="1" applyBorder="1"/>
    <x:xf numFmtId="200" fontId="9" fillId="0" borderId="0" xfId="0" applyNumberFormat="1" applyFont="1" applyFill="1" applyBorder="1"/>
    <x:xf numFmtId="200" fontId="11" fillId="0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0" fontId="5" fillId="7" borderId="0" xfId="0" applyNumberFormat="1" applyFont="1" applyFill="1" applyBorder="1"/>
    <x:xf numFmtId="201" fontId="5" fillId="7" borderId="0" xfId="0" applyNumberFormat="1" applyFont="1" applyFill="1" applyBorder="1"/>
    <x:xf numFmtId="200" fontId="10" fillId="7" borderId="0" xfId="0" applyNumberFormat="1" applyFont="1" applyFill="1" applyBorder="1"/>
    <x:xf numFmtId="201" fontId="10" fillId="7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1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13" fillId="8" borderId="0" xfId="0" applyNumberFormat="1" applyFont="1" applyFill="1" applyBorder="1"/>
    <x:xf numFmtId="0" fontId="14" fillId="0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204" fontId="0" fillId="10" borderId="0" xfId="0" applyNumberFormat="1" applyFont="1" applyFill="1" applyBorder="1"/>
    <x:xf numFmtId="204" fontId="0" fillId="0" borderId="0" xfId="0" applyNumberFormat="1" applyFont="1" applyFill="1" applyBorder="1"/>
    <x:xf numFmtId="201" fontId="0" fillId="10" borderId="0" xfId="0" applyNumberFormat="1" applyFont="1" applyFill="1" applyBorder="1"/>
    <x:xf numFmtId="205" fontId="0" fillId="10" borderId="0" xfId="0" applyNumberFormat="1" applyFont="1" applyFill="1" applyBorder="1"/>
    <x:xf numFmtId="205" fontId="0" fillId="0" borderId="0" xfId="0" applyNumberFormat="1" applyFont="1" applyFill="1" applyBorder="1"/>
    <x:xf numFmtId="0" fontId="1" fillId="9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2" fillId="12" borderId="0" xfId="0" applyNumberFormat="1" applyFont="1" applyFill="1" applyBorder="1"/>
    <x:xf numFmtId="0" fontId="15" fillId="12" borderId="0" xfId="0" applyNumberFormat="1" applyFont="1" applyFill="1" applyBorder="1"/>
    <x:xf numFmtId="0" fontId="16" fillId="12" borderId="0" xfId="0" applyNumberFormat="1" applyFont="1" applyFill="1" applyBorder="1"/>
    <x:xf numFmtId="0" fontId="17" fillId="0" borderId="0" xfId="0" applyNumberFormat="1" applyFont="1" applyFill="1" applyBorder="1"/>
    <x:xf numFmtId="0" fontId="0" fillId="13" borderId="0" xfId="0" applyNumberFormat="1" applyFont="1" applyFill="1" applyBorder="1"/>
    <x:xf numFmtId="0" fontId="18" fillId="13" borderId="0" xfId="0" applyNumberFormat="1" applyFont="1" applyFill="1" applyBorder="1"/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8a2caa98f24fca" /><Relationship Type="http://schemas.openxmlformats.org/officeDocument/2006/relationships/theme" Target="/xl/theme/theme1.xml" Id="R84aeaee87f3b48d4" /><Relationship Type="http://schemas.openxmlformats.org/officeDocument/2006/relationships/sharedStrings" Target="/xl/sharedStrings.xml" Id="R5787d05de17444ff" /><Relationship Type="http://schemas.openxmlformats.org/officeDocument/2006/relationships/worksheet" Target="/xl/worksheets/sheet1.xml" Id="R16198b567b6343b8" /><Relationship Type="http://schemas.openxmlformats.org/officeDocument/2006/relationships/worksheet" Target="/xl/worksheets/sheet2.xml" Id="Rbbfe26c0967f4b47" /><Relationship Type="http://schemas.openxmlformats.org/officeDocument/2006/relationships/worksheet" Target="/xl/worksheets/sheet3.xml" Id="R718032c679e94e9e" /><Relationship Type="http://schemas.openxmlformats.org/officeDocument/2006/relationships/worksheet" Target="/xl/worksheets/sheet4.xml" Id="R5b5a8d4d34394b56" /><Relationship Type="http://schemas.openxmlformats.org/officeDocument/2006/relationships/worksheet" Target="/xl/worksheets/sheet5.xml" Id="R6ac7c35f402f4657" /><Relationship Type="http://schemas.openxmlformats.org/officeDocument/2006/relationships/worksheet" Target="/xl/worksheets/sheet6.xml" Id="R63b3482ed40046af" /><Relationship Type="http://schemas.openxmlformats.org/officeDocument/2006/relationships/worksheet" Target="/xl/worksheets/sheet7.xml" Id="Rf0115e83202b4680" /><Relationship Type="http://schemas.openxmlformats.org/officeDocument/2006/relationships/worksheet" Target="/xl/worksheets/sheet8.xml" Id="R84f2ea61b5ce462d" /><Relationship Type="http://schemas.openxmlformats.org/officeDocument/2006/relationships/worksheet" Target="/xl/worksheets/sheet9.xml" Id="R20ef8e457be94204" /><Relationship Type="http://schemas.openxmlformats.org/officeDocument/2006/relationships/worksheet" Target="/xl/worksheets/sheet10.xml" Id="Rdb546b96333548b9" /><Relationship Type="http://schemas.openxmlformats.org/officeDocument/2006/relationships/worksheet" Target="/xl/worksheets/sheet11.xml" Id="R192e85c6297a4b8d" /><Relationship Type="http://schemas.openxmlformats.org/officeDocument/2006/relationships/worksheet" Target="/xl/worksheets/sheet12.xml" Id="R42a6398a59b8477e" /><Relationship Type="http://schemas.openxmlformats.org/officeDocument/2006/relationships/worksheet" Target="/xl/worksheets/sheet13.xml" Id="Rf70c003b2e3f47b8" /><Relationship Type="http://schemas.openxmlformats.org/officeDocument/2006/relationships/worksheet" Target="/xl/worksheets/sheet14.xml" Id="Rb94f0b17a66f4814" /><Relationship Type="http://schemas.openxmlformats.org/officeDocument/2006/relationships/worksheet" Target="/xl/worksheets/sheet15.xml" Id="R6835293e99b64a6c" /><Relationship Type="http://schemas.openxmlformats.org/officeDocument/2006/relationships/worksheet" Target="/xl/worksheets/sheet16.xml" Id="R111042cddffe43d6" /><Relationship Type="http://schemas.openxmlformats.org/officeDocument/2006/relationships/worksheet" Target="/xl/worksheets/sheet17.xml" Id="R4ea32f4a63744415" /><Relationship Type="http://schemas.openxmlformats.org/officeDocument/2006/relationships/worksheet" Target="/xl/worksheets/sheet18.xml" Id="Rc9165128356640db" /><Relationship Type="http://schemas.openxmlformats.org/officeDocument/2006/relationships/worksheet" Target="/xl/worksheets/sheet19.xml" Id="R8a222e0cc07046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077aeb91cc421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e42fa192e4d4c2c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73519ae6de445c1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png" Id="R8cf5e48073ff49f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c44726a5ba34e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actual vs budget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Revenue actual</c:v>
          </c:tx>
          <c:marker>
            <c:symbol val="none"/>
          </c:marker>
          <c:cat>
            <c:strRef>
              <c:f>'FINANCIALS'!$B$6:$B$17</c:f>
              <c:strCache>
                <c:ptCount val="0"/>
              </c:strCache>
            </c:strRef>
          </c:cat>
          <c:val>
            <c:numRef>
              <c:f>'FINANCIALS'!$C$6:$C$17</c:f>
              <c:numCache>
                <c:formatCode>#,##0;[Red](#,##0)</c:formatCode>
                <c:ptCount val="0"/>
              </c:numCache>
            </c:numRef>
          </c:val>
          <c:smooth val="0"/>
        </c:ser>
        <c:ser>
          <c:idx val="1"/>
          <c:order val="1"/>
          <c:tx>
            <c:v>Revenue budget</c:v>
          </c:tx>
          <c:marker>
            <c:symbol val="none"/>
          </c:marker>
          <c:cat>
            <c:strRef>
              <c:f>'FINANCIALS'!$B$6:$B$17</c:f>
              <c:strCache>
                <c:ptCount val="0"/>
              </c:strCache>
            </c:strRef>
          </c:cat>
          <c:val>
            <c:numRef>
              <c:f>'FINANCIALS'!$D$6:$D$17</c:f>
              <c:numCache>
                <c:formatCode>#,##0;[Red](#,##0)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Units produced</c:v>
          </c:tx>
          <c:marker>
            <c:symbol val="none"/>
          </c:marker>
          <c:cat>
            <c:strRef>
              <c:f>'OPERATIONS'!$B$6:$B$17</c:f>
              <c:strCache>
                <c:ptCount val="0"/>
              </c:strCache>
            </c:strRef>
          </c:cat>
          <c:val>
            <c:numRef>
              <c:f>'OPERATIONS'!$C$6:$C$17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vs target by region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</c:v>
          </c:tx>
          <c:cat>
            <c:strRef>
              <c:f>'GEO INTELLIGENCE'!$A$23:$A$26</c:f>
              <c:strCache>
                <c:ptCount val="0"/>
              </c:strCache>
            </c:strRef>
          </c:cat>
          <c:val>
            <c:numRef>
              <c:f>'GEO INTELLIGENCE'!$B$23:$B$26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Target</c:v>
          </c:tx>
          <c:cat>
            <c:strRef>
              <c:f>'GEO INTELLIGENCE'!$A$23:$A$26</c:f>
              <c:strCache>
                <c:ptCount val="0"/>
              </c:strCache>
            </c:strRef>
          </c:cat>
          <c:val>
            <c:numRef>
              <c:f>'GEO INTELLIGENCE'!$C$23:$C$26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Operational scorecard | actual vs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Target</c:v>
          </c:tx>
          <c:cat>
            <c:strRef>
              <c:f>'EXECUTIVE COCKPIT'!$F$4:$F$7</c:f>
              <c:strCache>
                <c:ptCount val="0"/>
              </c:strCache>
            </c:strRef>
          </c:cat>
          <c:val>
            <c:numRef>
              <c:f>'EXECUTIVE COCKPIT'!$G$4:$G$7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'EXECUTIVE COCKPIT'!$F$4:$F$7</c:f>
              <c:strCache>
                <c:ptCount val="0"/>
              </c:strCache>
            </c:strRef>
          </c:cat>
          <c:val>
            <c:numRef>
              <c:f>'EXECUTIVE COCKPIT'!$H$4:$H$7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077aeb91cc421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42fa192e4d4c2c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3519ae6de445c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3</xdr:row>
      <xdr:rowOff>0</xdr:rowOff>
    </xdr:from>
    <xdr:ext cx="11906250" cy="64770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f5e48073ff49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44726a5ba34e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7e2f55eb30064e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05dbf6fcad6e41a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3.xml" Id="Rcbef56af1a584bc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4.xml" Id="R2d88f6b32c1e4b9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5.xml" Id="R61ef44e28d694179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17" hidden="0" customWidth="1"/>
    <x:col min="11" max="11" width="17" hidden="0" customWidth="1"/>
    <x:col min="12" max="12" width="20" hidden="0" customWidth="1"/>
  </x:cols>
  <x:sheetData>
    <x:row r="1">
      <x:c r="A1" s="2"/>
      <x:c r="B1" s="8" t="str">
        <x:v>VECTRA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45" t="str">
        <x:v>ENTERPRISE PERFORMANCE &amp; DECISION INTELLIGENCE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2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4">
      <x:c r="B4" s="36" t="str">
        <x:v>NORTHSTAR COMPONENTS LTD.  |  SIMULATED BUSINESS ENVIRONMENT</x:v>
      </x:c>
    </x:row>
    <x:row r="5" ht="32" customHeight="1">
      <x:c r="B5" s="49"/>
      <x:c r="C5" s="49"/>
      <x:c r="D5" s="49"/>
      <x:c r="E5" s="49"/>
      <x:c r="F5" s="49"/>
      <x:c r="G5" s="49"/>
      <x:c r="H5" s="49"/>
      <x:c r="I5" s="49"/>
      <x:c r="J5" s="49"/>
      <x:c r="K5" s="49"/>
    </x:row>
    <x:row r="6" ht="32" customHeight="1">
      <x:c r="B6" s="48" t="str">
        <x:v>FINANCIAL KPI</x:v>
      </x:c>
      <x:c r="C6" s="48" t="str">
        <x:v>VALUE</x:v>
      </x:c>
      <x:c r="E6" s="48" t="str">
        <x:v>OPERATIONS KPI</x:v>
      </x:c>
      <x:c r="F6" s="48" t="str">
        <x:v>VALUE</x:v>
      </x:c>
      <x:c r="H6" s="48" t="str">
        <x:v>PORTFOLIO KPI</x:v>
      </x:c>
      <x:c r="I6" s="48" t="str">
        <x:v>VALUE</x:v>
      </x:c>
    </x:row>
    <x:row r="7" ht="24" customHeight="1">
      <x:c r="B7" t="str">
        <x:v>FY revenue</x:v>
      </x:c>
      <x:c r="C7" s="68" t="n">
        <x:f>FINANCIALS!C19</x:f>
        <x:v>46061202</x:v>
      </x:c>
      <x:c r="E7" t="str">
        <x:v>Total production</x:v>
      </x:c>
      <x:c r="F7" s="72" t="n">
        <x:f>SUM(OPERATIONS!C6:C17)</x:f>
        <x:v>268382</x:v>
      </x:c>
      <x:c r="H7" t="str">
        <x:v>Active initiatives</x:v>
      </x:c>
      <x:c r="I7" s="72" t="n">
        <x:f>COUNTA(PROJECTS!B6:B15)</x:f>
        <x:v>10</x:v>
      </x:c>
    </x:row>
    <x:row r="8" ht="24" customHeight="1">
      <x:c r="B8" t="str">
        <x:v>Operating result</x:v>
      </x:c>
      <x:c r="C8" s="68" t="n">
        <x:f>FINANCIALS!I19</x:f>
        <x:v>-3742517</x:v>
      </x:c>
      <x:c r="E8" t="str">
        <x:v>Average utilization</x:v>
      </x:c>
      <x:c r="F8" s="69" t="n">
        <x:f>AVERAGE(OPERATIONS!H6:H17)</x:f>
        <x:v>0.8601987179487179</x:v>
      </x:c>
      <x:c r="H8" t="str">
        <x:v>At-risk / delayed</x:v>
      </x:c>
      <x:c r="I8" s="72" t="n">
        <x:f>COUNTIF(PROJECTS!F6:F15,"At risk")+COUNTIF(PROJECTS!F6:F15,"Delayed")</x:f>
        <x:v>6</x:v>
      </x:c>
    </x:row>
    <x:row r="9" ht="24" customHeight="1">
      <x:c r="B9" t="str">
        <x:v>Revenue vs budget</x:v>
      </x:c>
      <x:c r="C9" s="68" t="n">
        <x:f>FINANCIALS!J19</x:f>
        <x:v>1061202</x:v>
      </x:c>
      <x:c r="E9" t="str">
        <x:v>Average defect rate</x:v>
      </x:c>
      <x:c r="F9" s="69" t="n">
        <x:f>AVERAGE(OPERATIONS!I6:I17)</x:f>
        <x:v>0.02703685796034103</x:v>
      </x:c>
      <x:c r="H9" t="str">
        <x:v>Budget committed</x:v>
      </x:c>
      <x:c r="I9" s="68" t="n">
        <x:f>SUM(PROJECTS!H6:H15)</x:f>
        <x:v>2122848</x:v>
      </x:c>
    </x:row>
    <x:row r="10" ht="24" customHeight="1">
      <x:c r="B10" t="str">
        <x:v>Operating margin</x:v>
      </x:c>
      <x:c r="C10" s="69" t="n">
        <x:f>FINANCIALS!K19</x:f>
        <x:v>-0.08125096257800654</x:v>
      </x:c>
      <x:c r="E10" t="str">
        <x:v>Average on-time delivery</x:v>
      </x:c>
      <x:c r="F10" s="69" t="n">
        <x:f>AVERAGE(OPERATIONS!J6:J17)</x:f>
        <x:v>0.8826241134751771</x:v>
      </x:c>
      <x:c r="H10" t="str">
        <x:v>Risks scored 15+</x:v>
      </x:c>
      <x:c r="I10" s="72" t="n">
        <x:f>COUNTIF('RISK REGISTER'!G6:G11,"&gt;=15")</x:f>
        <x:v>2</x:v>
      </x:c>
    </x:row>
    <x:row r="11" ht="24" customHeight="1"/>
    <x:row r="12" ht="24" customHeight="1"/>
    <x:row r="13" ht="24" customHeight="1">
      <x:c r="B13" s="45" t="str">
        <x:v>MANAGEMENT BRIEF  /  LIVE PERFORMANCE SIGNALS</x:v>
      </x:c>
      <x:c r="C13" s="44"/>
      <x:c r="D13" s="44"/>
      <x:c r="E13" s="44"/>
      <x:c r="F13" s="44"/>
      <x:c r="G13" s="44"/>
      <x:c r="H13" s="44"/>
      <x:c r="I13" s="44"/>
    </x:row>
    <x:row r="14" ht="24" customHeight="1">
      <x:c r="B14" t="str">
        <x:v>ASSUMPTIONS</x:v>
      </x:c>
      <x:c r="C14" t="str">
        <x:v>Edit planning parameters</x:v>
      </x:c>
    </x:row>
    <x:row r="15" ht="30" customHeight="1">
      <x:c r="B15" t="str">
        <x:v>Financial position</x:v>
      </x:c>
      <x:c r="C15" s="73" t="str">
        <x:f>IF(C8&lt;0,"ACTION REQUIRED — negative operating result","Operating result positive")</x:f>
        <x:v>ACTION REQUIRED — negative operating result</x:v>
      </x:c>
      <x:c r="D15" s="73"/>
      <x:c r="E15" s="73"/>
      <x:c r="F15" s="73"/>
      <x:c r="G15" s="73"/>
      <x:c r="H15" s="73"/>
      <x:c r="I15" s="73"/>
    </x:row>
    <x:row r="16" ht="30" customHeight="1">
      <x:c r="B16" t="str">
        <x:v>Delivery execution</x:v>
      </x:c>
      <x:c r="C16" s="73" t="str">
        <x:f>IF(F10&lt;0.9,"ATTENTION — on-time delivery below 90%","On-time delivery at or above 90%")</x:f>
        <x:v>ATTENTION — on-time delivery below 90%</x:v>
      </x:c>
      <x:c r="D16" s="73"/>
      <x:c r="E16" s="73"/>
      <x:c r="F16" s="73"/>
      <x:c r="G16" s="73"/>
      <x:c r="H16" s="73"/>
      <x:c r="I16" s="73"/>
    </x:row>
    <x:row r="17" ht="30" customHeight="1">
      <x:c r="B17" t="str">
        <x:v>Project exposure</x:v>
      </x:c>
      <x:c r="C17" s="73" t="str">
        <x:f>IF(I8&gt;0,"ATTENTION — delayed or at-risk initiatives","No flagged initiatives")</x:f>
        <x:v>ATTENTION — delayed or at-risk initiatives</x:v>
      </x:c>
      <x:c r="D17" s="73"/>
      <x:c r="E17" s="73"/>
      <x:c r="F17" s="73"/>
      <x:c r="G17" s="73"/>
      <x:c r="H17" s="73"/>
      <x:c r="I17" s="73"/>
    </x:row>
    <x:row r="18" ht="30" customHeight="1">
      <x:c r="B18" t="str">
        <x:v>Risk escalation</x:v>
      </x:c>
      <x:c r="C18" s="73" t="str">
        <x:f>IF(I10&gt;0,"ACTION REQUIRED — high-severity risks present","No risks above escalation threshold")</x:f>
        <x:v>ACTION REQUIRED — high-severity risks present</x:v>
      </x:c>
      <x:c r="D18" s="73"/>
      <x:c r="E18" s="73"/>
      <x:c r="F18" s="73"/>
      <x:c r="G18" s="73"/>
      <x:c r="H18" s="73"/>
      <x:c r="I18" s="73"/>
    </x:row>
    <x:row r="19" ht="24" customHeight="1">
      <x:c r="B19" t="str">
        <x:v>RISK REGISTER</x:v>
      </x:c>
      <x:c r="C19" t="str">
        <x:v>Prioritize operational risks</x:v>
      </x:c>
    </x:row>
    <x:row r="20" ht="24" customHeight="1">
      <x:c r="B20" t="str">
        <x:v>DATA POLICY</x:v>
      </x:c>
      <x:c r="C20" s="73" t="str">
        <x:v>Demonstration model — all business data is simulated; not a production ERP.</x:v>
      </x:c>
      <x:c r="D20" s="73"/>
      <x:c r="E20" s="73"/>
      <x:c r="F20" s="73"/>
      <x:c r="G20" s="73"/>
      <x:c r="H20" s="73"/>
      <x:c r="I20" s="73"/>
    </x:row>
    <x:row r="21" ht="24" customHeight="1">
      <x:c r="B21" t="str">
        <x:v>DATA DICTIONARY</x:v>
      </x:c>
      <x:c r="C21" t="str">
        <x:v>Review definitions and lineage</x:v>
      </x:c>
    </x:row>
    <x:row r="22" ht="24" customHeight="1"/>
    <x:row r="24">
      <x:c r="B24" t="str">
        <x:v>MODEL NOTICE</x:v>
      </x:c>
    </x:row>
    <x:row r="25">
      <x:c r="B25" s="40" t="str">
        <x:v>Demonstration workbook using fictional, simulated records. Not a production ERP or audited financial model.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MODEL ASSUMPTIONS</x:v>
      </x:c>
      <x:c r="C1" s="2"/>
      <x:c r="D1" s="2"/>
      <x:c r="E1" s="2"/>
      <x:c r="F1" s="2"/>
      <x:c r="G1" s="2"/>
      <x:c r="H1" s="2"/>
    </x:row>
    <x:row r="2" ht="34" customHeight="1">
      <x:c r="A2" s="2"/>
      <x:c r="B2" s="45" t="str">
        <x:v>Editable scenario inputs | fictional industrial manufacturer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Parameter</x:v>
      </x:c>
      <x:c r="C5" s="49" t="str">
        <x:v>Value</x:v>
      </x:c>
      <x:c r="D5" s="49" t="str">
        <x:v>Unit</x:v>
      </x:c>
      <x:c r="E5" s="49" t="str">
        <x:v>Notes</x:v>
      </x:c>
      <x:c r="F5" s="49"/>
      <x:c r="G5" s="49"/>
      <x:c r="H5" s="49"/>
      <x:c r="I5" s="49"/>
      <x:c r="J5" s="49"/>
      <x:c r="K5" s="49"/>
    </x:row>
    <x:row r="6" ht="24" customHeight="1">
      <x:c r="B6" t="str">
        <x:v>Company</x:v>
      </x:c>
      <x:c r="C6" t="str">
        <x:v>Northstar Components Ltd.</x:v>
      </x:c>
      <x:c r="D6" t="str"/>
      <x:c r="E6" t="str">
        <x:v>Fictional business; no real customer data</x:v>
      </x:c>
    </x:row>
    <x:row r="7" ht="24" customHeight="1">
      <x:c r="B7" t="str">
        <x:v>Facilities</x:v>
      </x:c>
      <x:c r="C7" t="n">
        <x:v>3</x:v>
      </x:c>
      <x:c r="D7" t="str">
        <x:v>sites</x:v>
      </x:c>
      <x:c r="E7" t="str">
        <x:v>Montréal, Québec City, Sherbrooke</x:v>
      </x:c>
    </x:row>
    <x:row r="8" ht="24" customHeight="1">
      <x:c r="B8" t="str">
        <x:v>Employees</x:v>
      </x:c>
      <x:c r="C8" t="n">
        <x:v>250</x:v>
      </x:c>
      <x:c r="D8" t="str">
        <x:v>people</x:v>
      </x:c>
      <x:c r="E8" t="str">
        <x:v>Simulated staffing baseline</x:v>
      </x:c>
    </x:row>
    <x:row r="9" ht="24" customHeight="1">
      <x:c r="B9" t="str">
        <x:v>Annual revenue target</x:v>
      </x:c>
      <x:c r="C9" s="18" t="n">
        <x:v>45000000</x:v>
      </x:c>
      <x:c r="D9" t="str">
        <x:v>CAD</x:v>
      </x:c>
      <x:c r="E9" t="str">
        <x:v>Illustrative</x:v>
      </x:c>
    </x:row>
    <x:row r="10" ht="24" customHeight="1">
      <x:c r="B10" t="str">
        <x:v>Gross margin target</x:v>
      </x:c>
      <x:c r="C10" s="20" t="n">
        <x:v>0.34</x:v>
      </x:c>
      <x:c r="D10" t="str">
        <x:v>%</x:v>
      </x:c>
      <x:c r="E10" t="str">
        <x:v>Model benchmark</x:v>
      </x:c>
    </x:row>
    <x:row r="11" ht="24" customHeight="1">
      <x:c r="B11" t="str">
        <x:v>Monthly labor cost</x:v>
      </x:c>
      <x:c r="C11" t="n">
        <x:v>1250000</x:v>
      </x:c>
      <x:c r="D11" t="str">
        <x:v>CAD</x:v>
      </x:c>
      <x:c r="E11" t="str">
        <x:v>Editable planning baseline</x:v>
      </x:c>
    </x:row>
    <x:row r="12" ht="24" customHeight="1">
      <x:c r="B12" t="str">
        <x:v>Monthly fixed overhead</x:v>
      </x:c>
      <x:c r="C12" t="n">
        <x:v>560000</x:v>
      </x:c>
      <x:c r="D12" t="str">
        <x:v>CAD</x:v>
      </x:c>
      <x:c r="E12" t="str">
        <x:v>Editable planning baseline</x:v>
      </x:c>
    </x:row>
    <x:row r="13" ht="24" customHeight="1">
      <x:c r="B13" t="str">
        <x:v>Annual revenue growth</x:v>
      </x:c>
      <x:c r="C13" s="20" t="n">
        <x:v>0.07</x:v>
      </x:c>
      <x:c r="D13" t="str">
        <x:v>%</x:v>
      </x:c>
      <x:c r="E13" t="str">
        <x:v>Scenario driver</x:v>
      </x:c>
    </x:row>
    <x:row r="14" ht="24" customHeight="1">
      <x:c r="B14" t="str">
        <x:v>Cost inflation</x:v>
      </x:c>
      <x:c r="C14" s="20" t="n">
        <x:v>0.04</x:v>
      </x:c>
      <x:c r="D14" t="str">
        <x:v>%</x:v>
      </x:c>
      <x:c r="E14" t="str">
        <x:v>Scenario driver</x:v>
      </x:c>
    </x:row>
    <x:row r="15" ht="24" customHeight="1">
      <x:c r="B15" t="str">
        <x:v>Production capacity / month</x:v>
      </x:c>
      <x:c r="C15" t="n">
        <x:v>26000</x:v>
      </x:c>
      <x:c r="D15" t="str">
        <x:v>units</x:v>
      </x:c>
      <x:c r="E15" t="str">
        <x:v>Across three sites</x:v>
      </x:c>
    </x:row>
    <x:row r="16" ht="24" customHeight="1">
      <x:c r="B16" t="str">
        <x:v>Quality defect tolerance</x:v>
      </x:c>
      <x:c r="C16" s="20" t="n">
        <x:v>0.025</x:v>
      </x:c>
      <x:c r="D16" t="str">
        <x:v>%</x:v>
      </x:c>
      <x:c r="E16" t="str">
        <x:v>Maximum defect ratio</x:v>
      </x:c>
    </x:row>
    <x:row r="17" ht="24" customHeight="1">
      <x:c r="B17" t="str">
        <x:v>Project budget</x:v>
      </x:c>
      <x:c r="C17" t="n">
        <x:v>2500000</x:v>
      </x:c>
      <x:c r="D17" t="str">
        <x:v>CAD</x:v>
      </x:c>
      <x:c r="E17" t="str">
        <x:v>Annual portfolio envelope</x:v>
      </x:c>
    </x:row>
    <x:row r="18" ht="24" customHeight="1"/>
    <x:row r="19" ht="24" customHeight="1"/>
    <x:row r="20" ht="24" customHeight="1"/>
    <x:row r="21" ht="24" customHeight="1"/>
    <x:row r="22" ht="24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9" hidden="0" customWidth="1"/>
  </x:cols>
  <x:sheetData>
    <x:row r="1">
      <x:c r="A1" s="2"/>
      <x:c r="B1" s="8" t="str">
        <x:v>FINANCIAL PERFORMANCE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2"/>
      <x:c r="B2" s="45" t="str">
        <x:v>Monthly plan versus actual | formula-driven margin and variance</x:v>
      </x:c>
      <x:c r="C2" s="45"/>
      <x:c r="D2" s="45"/>
      <x:c r="E2" s="45"/>
      <x:c r="F2" s="45"/>
      <x:c r="G2" s="45"/>
      <x:c r="H2" s="45"/>
      <x:c r="I2" s="45"/>
      <x:c r="J2" s="45"/>
      <x:c r="K2" s="45"/>
      <x:c r="L2" s="2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42" customHeight="1">
      <x:c r="B5" s="49" t="str">
        <x:v>Month</x:v>
      </x:c>
      <x:c r="C5" s="49" t="str">
        <x:v>Revenue actual</x:v>
      </x:c>
      <x:c r="D5" s="49" t="str">
        <x:v>Revenue budget</x:v>
      </x:c>
      <x:c r="E5" s="49" t="str">
        <x:v>Direct costs</x:v>
      </x:c>
      <x:c r="F5" s="49" t="str">
        <x:v>Labor</x:v>
      </x:c>
      <x:c r="G5" s="49" t="str">
        <x:v>Overhead</x:v>
      </x:c>
      <x:c r="H5" s="49" t="str">
        <x:v>Gross profit</x:v>
      </x:c>
      <x:c r="I5" s="49" t="str">
        <x:v>Operating profit</x:v>
      </x:c>
      <x:c r="J5" s="49" t="str">
        <x:v>Budget variance</x:v>
      </x:c>
      <x:c r="K5" s="49" t="str">
        <x:v>Operating margin</x:v>
      </x:c>
    </x:row>
    <x:row r="6" ht="25" customHeight="1">
      <x:c r="B6" s="55" t="str">
        <x:v>Jan</x:v>
      </x:c>
      <x:c r="C6" s="56" t="n">
        <x:v>3415243</x:v>
      </x:c>
      <x:c r="D6" s="56" t="n">
        <x:v>3750000</x:v>
      </x:c>
      <x:c r="E6" s="56" t="n">
        <x:v>2026468</x:v>
      </x:c>
      <x:c r="F6" s="56" t="n">
        <x:v>1237196</x:v>
      </x:c>
      <x:c r="G6" s="56" t="n">
        <x:v>560000</x:v>
      </x:c>
      <x:c r="H6" s="56" t="n">
        <x:f>C6-E6</x:f>
        <x:v>1388775</x:v>
      </x:c>
      <x:c r="I6" s="56" t="n">
        <x:f>H6-F6-G6</x:f>
        <x:v>-408421</x:v>
      </x:c>
      <x:c r="J6" s="56" t="n">
        <x:f>C6-D6</x:f>
        <x:v>-334757</x:v>
      </x:c>
      <x:c r="K6" s="57" t="n">
        <x:f>IFERROR(I6/C6,0)</x:f>
        <x:v>-0.11958768380463704</x:v>
      </x:c>
    </x:row>
    <x:row r="7" ht="25" customHeight="1">
      <x:c r="B7" s="55" t="str">
        <x:v>Feb</x:v>
      </x:c>
      <x:c r="C7" s="56" t="n">
        <x:v>3334194</x:v>
      </x:c>
      <x:c r="D7" s="56" t="n">
        <x:v>3750000</x:v>
      </x:c>
      <x:c r="E7" s="56" t="n">
        <x:v>2031815</x:v>
      </x:c>
      <x:c r="F7" s="56" t="n">
        <x:v>1158289</x:v>
      </x:c>
      <x:c r="G7" s="56" t="n">
        <x:v>560000</x:v>
      </x:c>
      <x:c r="H7" s="56" t="n">
        <x:f>C7-E7</x:f>
        <x:v>1302379</x:v>
      </x:c>
      <x:c r="I7" s="56" t="n">
        <x:f>H7-F7-G7</x:f>
        <x:v>-415910</x:v>
      </x:c>
      <x:c r="J7" s="56" t="n">
        <x:f>C7-D7</x:f>
        <x:v>-415806</x:v>
      </x:c>
      <x:c r="K7" s="57" t="n">
        <x:f>IFERROR(I7/C7,0)</x:f>
        <x:v>-0.12474079192752431</x:v>
      </x:c>
    </x:row>
    <x:row r="8" ht="25" customHeight="1">
      <x:c r="B8" s="55" t="str">
        <x:v>Mar</x:v>
      </x:c>
      <x:c r="C8" s="56" t="n">
        <x:v>3353736</x:v>
      </x:c>
      <x:c r="D8" s="56" t="n">
        <x:v>3750000</x:v>
      </x:c>
      <x:c r="E8" s="56" t="n">
        <x:v>2217503</x:v>
      </x:c>
      <x:c r="F8" s="56" t="n">
        <x:v>1211482</x:v>
      </x:c>
      <x:c r="G8" s="56" t="n">
        <x:v>560000</x:v>
      </x:c>
      <x:c r="H8" s="56" t="n">
        <x:f>C8-E8</x:f>
        <x:v>1136233</x:v>
      </x:c>
      <x:c r="I8" s="56" t="n">
        <x:f>H8-F8-G8</x:f>
        <x:v>-635249</x:v>
      </x:c>
      <x:c r="J8" s="56" t="n">
        <x:f>C8-D8</x:f>
        <x:v>-396264</x:v>
      </x:c>
      <x:c r="K8" s="57" t="n">
        <x:f>IFERROR(I8/C8,0)</x:f>
        <x:v>-0.18941532666852728</x:v>
      </x:c>
    </x:row>
    <x:row r="9" ht="25" customHeight="1">
      <x:c r="B9" s="55" t="str">
        <x:v>Apr</x:v>
      </x:c>
      <x:c r="C9" s="56" t="n">
        <x:v>3455580</x:v>
      </x:c>
      <x:c r="D9" s="56" t="n">
        <x:v>3750000</x:v>
      </x:c>
      <x:c r="E9" s="56" t="n">
        <x:v>2249096</x:v>
      </x:c>
      <x:c r="F9" s="56" t="n">
        <x:v>1144165</x:v>
      </x:c>
      <x:c r="G9" s="56" t="n">
        <x:v>560000</x:v>
      </x:c>
      <x:c r="H9" s="56" t="n">
        <x:f>C9-E9</x:f>
        <x:v>1206484</x:v>
      </x:c>
      <x:c r="I9" s="56" t="n">
        <x:f>H9-F9-G9</x:f>
        <x:v>-497681</x:v>
      </x:c>
      <x:c r="J9" s="56" t="n">
        <x:f>C9-D9</x:f>
        <x:v>-294420</x:v>
      </x:c>
      <x:c r="K9" s="57" t="n">
        <x:f>IFERROR(I9/C9,0)</x:f>
        <x:v>-0.14402242170634164</x:v>
      </x:c>
    </x:row>
    <x:row r="10" ht="25" customHeight="1">
      <x:c r="B10" s="55" t="str">
        <x:v>May</x:v>
      </x:c>
      <x:c r="C10" s="56" t="n">
        <x:v>3535622</x:v>
      </x:c>
      <x:c r="D10" s="56" t="n">
        <x:v>3750000</x:v>
      </x:c>
      <x:c r="E10" s="56" t="n">
        <x:v>2090413</x:v>
      </x:c>
      <x:c r="F10" s="56" t="n">
        <x:v>1170495</x:v>
      </x:c>
      <x:c r="G10" s="56" t="n">
        <x:v>560000</x:v>
      </x:c>
      <x:c r="H10" s="56" t="n">
        <x:f>C10-E10</x:f>
        <x:v>1445209</x:v>
      </x:c>
      <x:c r="I10" s="56" t="n">
        <x:f>H10-F10-G10</x:f>
        <x:v>-285286</x:v>
      </x:c>
      <x:c r="J10" s="56" t="n">
        <x:f>C10-D10</x:f>
        <x:v>-214378</x:v>
      </x:c>
      <x:c r="K10" s="57" t="n">
        <x:f>IFERROR(I10/C10,0)</x:f>
        <x:v>-0.08068905556080373</x:v>
      </x:c>
    </x:row>
    <x:row r="11" ht="25" customHeight="1">
      <x:c r="B11" s="55" t="str">
        <x:v>Jun</x:v>
      </x:c>
      <x:c r="C11" s="56" t="n">
        <x:v>3894951</x:v>
      </x:c>
      <x:c r="D11" s="56" t="n">
        <x:v>3750000</x:v>
      </x:c>
      <x:c r="E11" s="56" t="n">
        <x:v>2540452</x:v>
      </x:c>
      <x:c r="F11" s="56" t="n">
        <x:v>1213563</x:v>
      </x:c>
      <x:c r="G11" s="56" t="n">
        <x:v>560000</x:v>
      </x:c>
      <x:c r="H11" s="56" t="n">
        <x:f>C11-E11</x:f>
        <x:v>1354499</x:v>
      </x:c>
      <x:c r="I11" s="56" t="n">
        <x:f>H11-F11-G11</x:f>
        <x:v>-419064</x:v>
      </x:c>
      <x:c r="J11" s="56" t="n">
        <x:f>C11-D11</x:f>
        <x:v>144951</x:v>
      </x:c>
      <x:c r="K11" s="57" t="n">
        <x:f>IFERROR(I11/C11,0)</x:f>
        <x:v>-0.1075915974295954</x:v>
      </x:c>
    </x:row>
    <x:row r="12" ht="25" customHeight="1">
      <x:c r="B12" s="55" t="str">
        <x:v>Jul</x:v>
      </x:c>
      <x:c r="C12" s="56" t="n">
        <x:v>3844248</x:v>
      </x:c>
      <x:c r="D12" s="56" t="n">
        <x:v>3750000</x:v>
      </x:c>
      <x:c r="E12" s="56" t="n">
        <x:v>2559971</x:v>
      </x:c>
      <x:c r="F12" s="56" t="n">
        <x:v>1231924</x:v>
      </x:c>
      <x:c r="G12" s="56" t="n">
        <x:v>560000</x:v>
      </x:c>
      <x:c r="H12" s="56" t="n">
        <x:f>C12-E12</x:f>
        <x:v>1284277</x:v>
      </x:c>
      <x:c r="I12" s="56" t="n">
        <x:f>H12-F12-G12</x:f>
        <x:v>-507647</x:v>
      </x:c>
      <x:c r="J12" s="56" t="n">
        <x:f>C12-D12</x:f>
        <x:v>94248</x:v>
      </x:c>
      <x:c r="K12" s="57" t="n">
        <x:f>IFERROR(I12/C12,0)</x:f>
        <x:v>-0.1320536552272382</x:v>
      </x:c>
    </x:row>
    <x:row r="13" ht="25" customHeight="1">
      <x:c r="B13" s="55" t="str">
        <x:v>Aug</x:v>
      </x:c>
      <x:c r="C13" s="56" t="n">
        <x:v>4135706</x:v>
      </x:c>
      <x:c r="D13" s="56" t="n">
        <x:v>3750000</x:v>
      </x:c>
      <x:c r="E13" s="56" t="n">
        <x:v>2606911</x:v>
      </x:c>
      <x:c r="F13" s="56" t="n">
        <x:v>1198878</x:v>
      </x:c>
      <x:c r="G13" s="56" t="n">
        <x:v>560000</x:v>
      </x:c>
      <x:c r="H13" s="56" t="n">
        <x:f>C13-E13</x:f>
        <x:v>1528795</x:v>
      </x:c>
      <x:c r="I13" s="56" t="n">
        <x:f>H13-F13-G13</x:f>
        <x:v>-230083</x:v>
      </x:c>
      <x:c r="J13" s="56" t="n">
        <x:f>C13-D13</x:f>
        <x:v>385706</x:v>
      </x:c>
      <x:c r="K13" s="57" t="n">
        <x:f>IFERROR(I13/C13,0)</x:f>
        <x:v>-0.055633306622859556</x:v>
      </x:c>
    </x:row>
    <x:row r="14" ht="25" customHeight="1">
      <x:c r="B14" s="55" t="str">
        <x:v>Sep</x:v>
      </x:c>
      <x:c r="C14" s="56" t="n">
        <x:v>4268944</x:v>
      </x:c>
      <x:c r="D14" s="56" t="n">
        <x:v>3750000</x:v>
      </x:c>
      <x:c r="E14" s="56" t="n">
        <x:v>2618497</x:v>
      </x:c>
      <x:c r="F14" s="56" t="n">
        <x:v>1140851</x:v>
      </x:c>
      <x:c r="G14" s="56" t="n">
        <x:v>560000</x:v>
      </x:c>
      <x:c r="H14" s="56" t="n">
        <x:f>C14-E14</x:f>
        <x:v>1650447</x:v>
      </x:c>
      <x:c r="I14" s="56" t="n">
        <x:f>H14-F14-G14</x:f>
        <x:v>-50404</x:v>
      </x:c>
      <x:c r="J14" s="56" t="n">
        <x:f>C14-D14</x:f>
        <x:v>518944</x:v>
      </x:c>
      <x:c r="K14" s="57" t="n">
        <x:f>IFERROR(I14/C14,0)</x:f>
        <x:v>-0.011807135441458122</x:v>
      </x:c>
    </x:row>
    <x:row r="15" ht="25" customHeight="1">
      <x:c r="B15" s="55" t="str">
        <x:v>Oct</x:v>
      </x:c>
      <x:c r="C15" s="56" t="n">
        <x:v>4153707</x:v>
      </x:c>
      <x:c r="D15" s="56" t="n">
        <x:v>3750000</x:v>
      </x:c>
      <x:c r="E15" s="56" t="n">
        <x:v>2757134</x:v>
      </x:c>
      <x:c r="F15" s="56" t="n">
        <x:v>1184597</x:v>
      </x:c>
      <x:c r="G15" s="56" t="n">
        <x:v>560000</x:v>
      </x:c>
      <x:c r="H15" s="56" t="n">
        <x:f>C15-E15</x:f>
        <x:v>1396573</x:v>
      </x:c>
      <x:c r="I15" s="56" t="n">
        <x:f>H15-F15-G15</x:f>
        <x:v>-348024</x:v>
      </x:c>
      <x:c r="J15" s="56" t="n">
        <x:f>C15-D15</x:f>
        <x:v>403707</x:v>
      </x:c>
      <x:c r="K15" s="57" t="n">
        <x:f>IFERROR(I15/C15,0)</x:f>
        <x:v>-0.08378636239869591</x:v>
      </x:c>
    </x:row>
    <x:row r="16" ht="25" customHeight="1">
      <x:c r="B16" s="55" t="str">
        <x:v>Nov</x:v>
      </x:c>
      <x:c r="C16" s="56" t="n">
        <x:v>4325684</x:v>
      </x:c>
      <x:c r="D16" s="56" t="n">
        <x:v>3750000</x:v>
      </x:c>
      <x:c r="E16" s="56" t="n">
        <x:v>2589603</x:v>
      </x:c>
      <x:c r="F16" s="56" t="n">
        <x:v>1184118</x:v>
      </x:c>
      <x:c r="G16" s="56" t="n">
        <x:v>560000</x:v>
      </x:c>
      <x:c r="H16" s="56" t="n">
        <x:f>C16-E16</x:f>
        <x:v>1736081</x:v>
      </x:c>
      <x:c r="I16" s="56" t="n">
        <x:f>H16-F16-G16</x:f>
        <x:v>-8037</x:v>
      </x:c>
      <x:c r="J16" s="56" t="n">
        <x:f>C16-D16</x:f>
        <x:v>575684</x:v>
      </x:c>
      <x:c r="K16" s="57" t="n">
        <x:f>IFERROR(I16/C16,0)</x:f>
        <x:v>-0.0018579720571359351</x:v>
      </x:c>
    </x:row>
    <x:row r="17" ht="25" customHeight="1">
      <x:c r="B17" s="55" t="str">
        <x:v>Dec</x:v>
      </x:c>
      <x:c r="C17" s="56" t="n">
        <x:v>4343587</x:v>
      </x:c>
      <x:c r="D17" s="56" t="n">
        <x:v>3750000</x:v>
      </x:c>
      <x:c r="E17" s="56" t="n">
        <x:v>2567622</x:v>
      </x:c>
      <x:c r="F17" s="56" t="n">
        <x:v>1152676</x:v>
      </x:c>
      <x:c r="G17" s="56" t="n">
        <x:v>560000</x:v>
      </x:c>
      <x:c r="H17" s="56" t="n">
        <x:f>C17-E17</x:f>
        <x:v>1775965</x:v>
      </x:c>
      <x:c r="I17" s="56" t="n">
        <x:f>H17-F17-G17</x:f>
        <x:v>63289</x:v>
      </x:c>
      <x:c r="J17" s="56" t="n">
        <x:f>C17-D17</x:f>
        <x:v>593587</x:v>
      </x:c>
      <x:c r="K17" s="57" t="n">
        <x:f>IFERROR(I17/C17,0)</x:f>
        <x:v>0.014570676263650297</x:v>
      </x:c>
    </x:row>
    <x:row r="18" ht="25" customHeight="1">
      <x:c r="B18" s="55"/>
      <x:c r="C18" s="56"/>
      <x:c r="D18" s="56"/>
      <x:c r="E18" s="56"/>
      <x:c r="F18" s="56"/>
      <x:c r="G18" s="56"/>
      <x:c r="H18" s="56"/>
      <x:c r="I18" s="56"/>
      <x:c r="J18" s="56"/>
      <x:c r="K18" s="57"/>
    </x:row>
    <x:row r="19" ht="25" customHeight="1">
      <x:c r="B19" s="58" t="str">
        <x:v>FY TOTAL</x:v>
      </x:c>
      <x:c r="C19" s="58" t="n">
        <x:f>SUM(C6:C17)</x:f>
        <x:v>46061202</x:v>
      </x:c>
      <x:c r="D19" s="58" t="n">
        <x:f>SUM(D6:D17)</x:f>
        <x:v>45000000</x:v>
      </x:c>
      <x:c r="E19" s="58" t="n">
        <x:f>SUM(E6:E17)</x:f>
        <x:v>28855485</x:v>
      </x:c>
      <x:c r="F19" s="58" t="n">
        <x:f>SUM(F6:F17)</x:f>
        <x:v>14228234</x:v>
      </x:c>
      <x:c r="G19" s="58" t="n">
        <x:f>SUM(G6:G17)</x:f>
        <x:v>6720000</x:v>
      </x:c>
      <x:c r="H19" s="58" t="n">
        <x:f>SUM(H6:H17)</x:f>
        <x:v>17205717</x:v>
      </x:c>
      <x:c r="I19" s="58" t="n">
        <x:f>SUM(I6:I17)</x:f>
        <x:v>-3742517</x:v>
      </x:c>
      <x:c r="J19" s="58" t="n">
        <x:f>SUM(J6:J17)</x:f>
        <x:v>1061202</x:v>
      </x:c>
      <x:c r="K19" s="59" t="n">
        <x:f>IFERROR(I19/C19,0)</x:f>
        <x:v>-0.08125096257800654</x:v>
      </x:c>
    </x:row>
    <x:row r="20" ht="25" customHeight="1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24" customHeight="1"/>
    <x:row r="22" ht="24" customHeight="1"/>
  </x:sheetData>
  <x:conditionalFormatting sqref="K6:K17">
    <x:cfRule type="colorScale" priority="1">
      <x:colorScale>
        <x:cfvo type="min"/>
        <x:cfvo type="percentile" val="50"/>
        <x:cfvo type="max"/>
        <x:color rgb="FFF6CCCC"/>
        <x:color rgb="FFFFF4D7"/>
        <x:color rgb="FFD6F1E7"/>
      </x:colorScale>
    </x:cfRule>
  </x:conditionalFormatting>
  <x:pageMargins left="0.7" right="0.7" top="0.75" bottom="0.75" header="0.3" footer="0.3"/>
  <x:drawing xmlns:r="http://schemas.openxmlformats.org/officeDocument/2006/relationships" r:id="R7e2f55eb30064e82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OPERATIONS CONTROL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2"/>
      <x:c r="B2" s="45" t="str">
        <x:v>Monthly production, utilization, service and quality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42" customHeight="1">
      <x:c r="B5" s="49" t="str">
        <x:v>Month</x:v>
      </x:c>
      <x:c r="C5" s="49" t="str">
        <x:v>Units produced</x:v>
      </x:c>
      <x:c r="D5" s="49" t="str">
        <x:v>Capacity</x:v>
      </x:c>
      <x:c r="E5" s="49" t="str">
        <x:v>Defective units</x:v>
      </x:c>
      <x:c r="F5" s="49" t="str">
        <x:v>On-time orders</x:v>
      </x:c>
      <x:c r="G5" s="49" t="str">
        <x:v>Total orders</x:v>
      </x:c>
      <x:c r="H5" s="49" t="str">
        <x:v>Utilization</x:v>
      </x:c>
      <x:c r="I5" s="49" t="str">
        <x:v>Defect rate</x:v>
      </x:c>
      <x:c r="J5" s="49" t="str">
        <x:v>OTD rate</x:v>
      </x:c>
      <x:c r="K5" s="49"/>
    </x:row>
    <x:row r="6" ht="25" customHeight="1">
      <x:c r="B6" s="55" t="str">
        <x:v>Jan</x:v>
      </x:c>
      <x:c r="C6" s="55" t="n">
        <x:v>22440</x:v>
      </x:c>
      <x:c r="D6" s="55" t="n">
        <x:v>26000</x:v>
      </x:c>
      <x:c r="E6" s="55" t="n">
        <x:v>783</x:v>
      </x:c>
      <x:c r="F6" s="55" t="n">
        <x:v>437</x:v>
      </x:c>
      <x:c r="G6" s="55" t="n">
        <x:v>470</x:v>
      </x:c>
      <x:c r="H6" s="57" t="n">
        <x:f>IFERROR(C6/D6,0)</x:f>
        <x:v>0.8630769230769231</x:v>
      </x:c>
      <x:c r="I6" s="57" t="n">
        <x:f>IFERROR(E6/C6,0)</x:f>
        <x:v>0.03489304812834225</x:v>
      </x:c>
      <x:c r="J6" s="57" t="n">
        <x:f>IFERROR(F6/G6,0)</x:f>
        <x:v>0.9297872340425531</x:v>
      </x:c>
      <x:c r="K6" s="55"/>
    </x:row>
    <x:row r="7" ht="25" customHeight="1">
      <x:c r="B7" s="55" t="str">
        <x:v>Feb</x:v>
      </x:c>
      <x:c r="C7" s="55" t="n">
        <x:v>21666</x:v>
      </x:c>
      <x:c r="D7" s="55" t="n">
        <x:v>26000</x:v>
      </x:c>
      <x:c r="E7" s="55" t="n">
        <x:v>732</x:v>
      </x:c>
      <x:c r="F7" s="55" t="n">
        <x:v>418</x:v>
      </x:c>
      <x:c r="G7" s="55" t="n">
        <x:v>470</x:v>
      </x:c>
      <x:c r="H7" s="57" t="n">
        <x:f>IFERROR(C7/D7,0)</x:f>
        <x:v>0.8333076923076923</x:v>
      </x:c>
      <x:c r="I7" s="57" t="n">
        <x:f>IFERROR(E7/C7,0)</x:f>
        <x:v>0.03378565494322902</x:v>
      </x:c>
      <x:c r="J7" s="57" t="n">
        <x:f>IFERROR(F7/G7,0)</x:f>
        <x:v>0.8893617021276595</x:v>
      </x:c>
      <x:c r="K7" s="55"/>
    </x:row>
    <x:row r="8" ht="25" customHeight="1">
      <x:c r="B8" s="55" t="str">
        <x:v>Mar</x:v>
      </x:c>
      <x:c r="C8" s="55" t="n">
        <x:v>23892</x:v>
      </x:c>
      <x:c r="D8" s="55" t="n">
        <x:v>26000</x:v>
      </x:c>
      <x:c r="E8" s="55" t="n">
        <x:v>367</x:v>
      </x:c>
      <x:c r="F8" s="55" t="n">
        <x:v>408</x:v>
      </x:c>
      <x:c r="G8" s="55" t="n">
        <x:v>470</x:v>
      </x:c>
      <x:c r="H8" s="57" t="n">
        <x:f>IFERROR(C8/D8,0)</x:f>
        <x:v>0.918923076923077</x:v>
      </x:c>
      <x:c r="I8" s="57" t="n">
        <x:f>IFERROR(E8/C8,0)</x:f>
        <x:v>0.015360790222668676</x:v>
      </x:c>
      <x:c r="J8" s="57" t="n">
        <x:f>IFERROR(F8/G8,0)</x:f>
        <x:v>0.8680851063829788</x:v>
      </x:c>
      <x:c r="K8" s="55"/>
    </x:row>
    <x:row r="9" ht="25" customHeight="1">
      <x:c r="B9" s="55" t="str">
        <x:v>Apr</x:v>
      </x:c>
      <x:c r="C9" s="55" t="n">
        <x:v>20145</x:v>
      </x:c>
      <x:c r="D9" s="55" t="n">
        <x:v>26000</x:v>
      </x:c>
      <x:c r="E9" s="55" t="n">
        <x:v>542</x:v>
      </x:c>
      <x:c r="F9" s="55" t="n">
        <x:v>440</x:v>
      </x:c>
      <x:c r="G9" s="55" t="n">
        <x:v>470</x:v>
      </x:c>
      <x:c r="H9" s="57" t="n">
        <x:f>IFERROR(C9/D9,0)</x:f>
        <x:v>0.7748076923076923</x:v>
      </x:c>
      <x:c r="I9" s="57" t="n">
        <x:f>IFERROR(E9/C9,0)</x:f>
        <x:v>0.02690493919086622</x:v>
      </x:c>
      <x:c r="J9" s="57" t="n">
        <x:f>IFERROR(F9/G9,0)</x:f>
        <x:v>0.9361702127659575</x:v>
      </x:c>
      <x:c r="K9" s="55"/>
    </x:row>
    <x:row r="10" ht="25" customHeight="1">
      <x:c r="B10" s="55" t="str">
        <x:v>May</x:v>
      </x:c>
      <x:c r="C10" s="55" t="n">
        <x:v>24566</x:v>
      </x:c>
      <x:c r="D10" s="55" t="n">
        <x:v>26000</x:v>
      </x:c>
      <x:c r="E10" s="55" t="n">
        <x:v>882</x:v>
      </x:c>
      <x:c r="F10" s="55" t="n">
        <x:v>406</x:v>
      </x:c>
      <x:c r="G10" s="55" t="n">
        <x:v>470</x:v>
      </x:c>
      <x:c r="H10" s="57" t="n">
        <x:f>IFERROR(C10/D10,0)</x:f>
        <x:v>0.9448461538461539</x:v>
      </x:c>
      <x:c r="I10" s="57" t="n">
        <x:f>IFERROR(E10/C10,0)</x:f>
        <x:v>0.035903280957420826</x:v>
      </x:c>
      <x:c r="J10" s="57" t="n">
        <x:f>IFERROR(F10/G10,0)</x:f>
        <x:v>0.8638297872340426</x:v>
      </x:c>
      <x:c r="K10" s="55"/>
    </x:row>
    <x:row r="11" ht="25" customHeight="1">
      <x:c r="B11" s="55" t="str">
        <x:v>Jun</x:v>
      </x:c>
      <x:c r="C11" s="55" t="n">
        <x:v>24229</x:v>
      </x:c>
      <x:c r="D11" s="55" t="n">
        <x:v>26000</x:v>
      </x:c>
      <x:c r="E11" s="55" t="n">
        <x:v>417</x:v>
      </x:c>
      <x:c r="F11" s="55" t="n">
        <x:v>368</x:v>
      </x:c>
      <x:c r="G11" s="55" t="n">
        <x:v>470</x:v>
      </x:c>
      <x:c r="H11" s="57" t="n">
        <x:f>IFERROR(C11/D11,0)</x:f>
        <x:v>0.9318846153846154</x:v>
      </x:c>
      <x:c r="I11" s="57" t="n">
        <x:f>IFERROR(E11/C11,0)</x:f>
        <x:v>0.017210780469685088</x:v>
      </x:c>
      <x:c r="J11" s="57" t="n">
        <x:f>IFERROR(F11/G11,0)</x:f>
        <x:v>0.7829787234042553</x:v>
      </x:c>
      <x:c r="K11" s="55"/>
    </x:row>
    <x:row r="12" ht="25" customHeight="1">
      <x:c r="B12" s="55" t="str">
        <x:v>Jul</x:v>
      </x:c>
      <x:c r="C12" s="55" t="n">
        <x:v>19875</x:v>
      </x:c>
      <x:c r="D12" s="55" t="n">
        <x:v>26000</x:v>
      </x:c>
      <x:c r="E12" s="55" t="n">
        <x:v>593</x:v>
      </x:c>
      <x:c r="F12" s="55" t="n">
        <x:v>397</x:v>
      </x:c>
      <x:c r="G12" s="55" t="n">
        <x:v>470</x:v>
      </x:c>
      <x:c r="H12" s="57" t="n">
        <x:f>IFERROR(C12/D12,0)</x:f>
        <x:v>0.7644230769230769</x:v>
      </x:c>
      <x:c r="I12" s="57" t="n">
        <x:f>IFERROR(E12/C12,0)</x:f>
        <x:v>0.029836477987421384</x:v>
      </x:c>
      <x:c r="J12" s="57" t="n">
        <x:f>IFERROR(F12/G12,0)</x:f>
        <x:v>0.8446808510638298</x:v>
      </x:c>
      <x:c r="K12" s="55"/>
    </x:row>
    <x:row r="13" ht="25" customHeight="1">
      <x:c r="B13" s="55" t="str">
        <x:v>Aug</x:v>
      </x:c>
      <x:c r="C13" s="55" t="n">
        <x:v>20153</x:v>
      </x:c>
      <x:c r="D13" s="55" t="n">
        <x:v>26000</x:v>
      </x:c>
      <x:c r="E13" s="55" t="n">
        <x:v>707</x:v>
      </x:c>
      <x:c r="F13" s="55" t="n">
        <x:v>372</x:v>
      </x:c>
      <x:c r="G13" s="55" t="n">
        <x:v>470</x:v>
      </x:c>
      <x:c r="H13" s="57" t="n">
        <x:f>IFERROR(C13/D13,0)</x:f>
        <x:v>0.7751153846153847</x:v>
      </x:c>
      <x:c r="I13" s="57" t="n">
        <x:f>IFERROR(E13/C13,0)</x:f>
        <x:v>0.035081625564432097</x:v>
      </x:c>
      <x:c r="J13" s="57" t="n">
        <x:f>IFERROR(F13/G13,0)</x:f>
        <x:v>0.7914893617021277</x:v>
      </x:c>
      <x:c r="K13" s="55"/>
    </x:row>
    <x:row r="14" ht="25" customHeight="1">
      <x:c r="B14" s="55" t="str">
        <x:v>Sep</x:v>
      </x:c>
      <x:c r="C14" s="55" t="n">
        <x:v>22613</x:v>
      </x:c>
      <x:c r="D14" s="55" t="n">
        <x:v>26000</x:v>
      </x:c>
      <x:c r="E14" s="55" t="n">
        <x:v>441</x:v>
      </x:c>
      <x:c r="F14" s="55" t="n">
        <x:v>441</x:v>
      </x:c>
      <x:c r="G14" s="55" t="n">
        <x:v>470</x:v>
      </x:c>
      <x:c r="H14" s="57" t="n">
        <x:f>IFERROR(C14/D14,0)</x:f>
        <x:v>0.8697307692307692</x:v>
      </x:c>
      <x:c r="I14" s="57" t="n">
        <x:f>IFERROR(E14/C14,0)</x:f>
        <x:v>0.01950205633927387</x:v>
      </x:c>
      <x:c r="J14" s="57" t="n">
        <x:f>IFERROR(F14/G14,0)</x:f>
        <x:v>0.9382978723404255</x:v>
      </x:c>
      <x:c r="K14" s="55"/>
    </x:row>
    <x:row r="15" ht="25" customHeight="1">
      <x:c r="B15" s="55" t="str">
        <x:v>Oct</x:v>
      </x:c>
      <x:c r="C15" s="55" t="n">
        <x:v>22488</x:v>
      </x:c>
      <x:c r="D15" s="55" t="n">
        <x:v>26000</x:v>
      </x:c>
      <x:c r="E15" s="55" t="n">
        <x:v>369</x:v>
      </x:c>
      <x:c r="F15" s="55" t="n">
        <x:v>405</x:v>
      </x:c>
      <x:c r="G15" s="55" t="n">
        <x:v>470</x:v>
      </x:c>
      <x:c r="H15" s="57" t="n">
        <x:f>IFERROR(C15/D15,0)</x:f>
        <x:v>0.8649230769230769</x:v>
      </x:c>
      <x:c r="I15" s="57" t="n">
        <x:f>IFERROR(E15/C15,0)</x:f>
        <x:v>0.016408751334044822</x:v>
      </x:c>
      <x:c r="J15" s="57" t="n">
        <x:f>IFERROR(F15/G15,0)</x:f>
        <x:v>0.8617021276595744</x:v>
      </x:c>
      <x:c r="K15" s="55"/>
    </x:row>
    <x:row r="16" ht="25" customHeight="1">
      <x:c r="B16" s="55" t="str">
        <x:v>Nov</x:v>
      </x:c>
      <x:c r="C16" s="55" t="n">
        <x:v>21216</x:v>
      </x:c>
      <x:c r="D16" s="55" t="n">
        <x:v>26000</x:v>
      </x:c>
      <x:c r="E16" s="55" t="n">
        <x:v>638</x:v>
      </x:c>
      <x:c r="F16" s="55" t="n">
        <x:v>449</x:v>
      </x:c>
      <x:c r="G16" s="55" t="n">
        <x:v>470</x:v>
      </x:c>
      <x:c r="H16" s="57" t="n">
        <x:f>IFERROR(C16/D16,0)</x:f>
        <x:v>0.816</x:v>
      </x:c>
      <x:c r="I16" s="57" t="n">
        <x:f>IFERROR(E16/C16,0)</x:f>
        <x:v>0.030071644042232278</x:v>
      </x:c>
      <x:c r="J16" s="57" t="n">
        <x:f>IFERROR(F16/G16,0)</x:f>
        <x:v>0.9553191489361702</x:v>
      </x:c>
      <x:c r="K16" s="55"/>
    </x:row>
    <x:row r="17" ht="25" customHeight="1">
      <x:c r="B17" s="55" t="str">
        <x:v>Dec</x:v>
      </x:c>
      <x:c r="C17" s="55" t="n">
        <x:v>25099</x:v>
      </x:c>
      <x:c r="D17" s="55" t="n">
        <x:v>26000</x:v>
      </x:c>
      <x:c r="E17" s="55" t="n">
        <x:v>740</x:v>
      </x:c>
      <x:c r="F17" s="55" t="n">
        <x:v>437</x:v>
      </x:c>
      <x:c r="G17" s="55" t="n">
        <x:v>470</x:v>
      </x:c>
      <x:c r="H17" s="57" t="n">
        <x:f>IFERROR(C17/D17,0)</x:f>
        <x:v>0.9653461538461539</x:v>
      </x:c>
      <x:c r="I17" s="57" t="n">
        <x:f>IFERROR(E17/C17,0)</x:f>
        <x:v>0.029483246344475876</x:v>
      </x:c>
      <x:c r="J17" s="57" t="n">
        <x:f>IFERROR(F17/G17,0)</x:f>
        <x:v>0.9297872340425531</x:v>
      </x:c>
      <x:c r="K17" s="55"/>
    </x:row>
    <x:row r="18" ht="25" customHeight="1"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</x:row>
    <x:row r="19" ht="25" customHeight="1"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 ht="25" customHeight="1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24" customHeight="1"/>
    <x:row r="22" ht="24" customHeight="1"/>
  </x:sheetData>
  <x:conditionalFormatting sqref="H6:J17">
    <x:cfRule type="dataBar" priority="1">
      <x:dataBar>
        <x:cfvo type="min"/>
        <x:cfvo type="max"/>
        <x:color rgb="FF007F86"/>
      </x:dataBar>
      <x:extLst>
        <x:ext xmlns:x14="http://schemas.microsoft.com/office/spreadsheetml/2009/9/main" uri="{B025F937-C7B1-47D3-B67F-A62EFF666E3E}">
          <x14:id>{BE502ED2-B6C8-B1AC-B97C-D974956C65B9}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5dbf6fcad6e41a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E502ED2-B6C8-B1AC-B97C-D974956C65B9}">
            <x14:dataBar gradient="1">
              <x14:cfvo type="min"/>
              <x14:cfvo type="max"/>
              <x14:fillColor rgb="FF007F86"/>
            </x14:dataBar>
          </x14:cfRule>
          <xm:sqref>H6:J17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WORKFORCE PLANNING</x:v>
      </x:c>
      <x:c r="C1" s="2"/>
      <x:c r="D1" s="2"/>
      <x:c r="E1" s="2"/>
      <x:c r="F1" s="2"/>
      <x:c r="G1" s="2"/>
      <x:c r="H1" s="2"/>
    </x:row>
    <x:row r="2" ht="34" customHeight="1">
      <x:c r="A2" s="2"/>
      <x:c r="B2" s="45" t="str">
        <x:v>Simulated staffing by facility and function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Facility</x:v>
      </x:c>
      <x:c r="C5" s="49" t="str">
        <x:v>Function</x:v>
      </x:c>
      <x:c r="D5" s="49" t="str">
        <x:v>Headcount</x:v>
      </x:c>
      <x:c r="E5" s="49" t="str">
        <x:v>Scheduled hours</x:v>
      </x:c>
      <x:c r="F5" s="49" t="str">
        <x:v>Actual hours</x:v>
      </x:c>
      <x:c r="G5" s="49" t="str">
        <x:v>Absence hours</x:v>
      </x:c>
      <x:c r="H5" s="49" t="str">
        <x:v>Utilization</x:v>
      </x:c>
      <x:c r="I5" s="49" t="str">
        <x:v>Absence rate</x:v>
      </x:c>
      <x:c r="J5" s="49"/>
      <x:c r="K5" s="49"/>
    </x:row>
    <x:row r="6" ht="25" customHeight="1">
      <x:c r="B6" s="55" t="str">
        <x:v>Montréal</x:v>
      </x:c>
      <x:c r="C6" s="55" t="str">
        <x:v>Production</x:v>
      </x:c>
      <x:c r="D6" s="55" t="n">
        <x:v>27</x:v>
      </x:c>
      <x:c r="E6" s="55" t="n">
        <x:v>4320</x:v>
      </x:c>
      <x:c r="F6" s="55" t="n">
        <x:v>3732</x:v>
      </x:c>
      <x:c r="G6" s="55" t="n">
        <x:v>588</x:v>
      </x:c>
      <x:c r="H6" s="57" t="n">
        <x:f>IFERROR(F6/E6,0)</x:f>
        <x:v>0.8638888888888889</x:v>
      </x:c>
      <x:c r="I6" s="57" t="n">
        <x:f>IFERROR(G6/E6,0)</x:f>
        <x:v>0.1361111111111111</x:v>
      </x:c>
      <x:c r="J6" s="55"/>
      <x:c r="K6" s="55"/>
    </x:row>
    <x:row r="7" ht="25" customHeight="1">
      <x:c r="B7" s="55" t="str">
        <x:v>Montréal</x:v>
      </x:c>
      <x:c r="C7" s="55" t="str">
        <x:v>Maintenance</x:v>
      </x:c>
      <x:c r="D7" s="55" t="n">
        <x:v>30</x:v>
      </x:c>
      <x:c r="E7" s="55" t="n">
        <x:v>4800</x:v>
      </x:c>
      <x:c r="F7" s="55" t="n">
        <x:v>4197</x:v>
      </x:c>
      <x:c r="G7" s="55" t="n">
        <x:v>603</x:v>
      </x:c>
      <x:c r="H7" s="57" t="n">
        <x:f>IFERROR(F7/E7,0)</x:f>
        <x:v>0.874375</x:v>
      </x:c>
      <x:c r="I7" s="57" t="n">
        <x:f>IFERROR(G7/E7,0)</x:f>
        <x:v>0.125625</x:v>
      </x:c>
      <x:c r="J7" s="55"/>
      <x:c r="K7" s="55"/>
    </x:row>
    <x:row r="8" ht="25" customHeight="1">
      <x:c r="B8" s="55" t="str">
        <x:v>Montréal</x:v>
      </x:c>
      <x:c r="C8" s="55" t="str">
        <x:v>Quality</x:v>
      </x:c>
      <x:c r="D8" s="55" t="n">
        <x:v>21</x:v>
      </x:c>
      <x:c r="E8" s="55" t="n">
        <x:v>3360</x:v>
      </x:c>
      <x:c r="F8" s="55" t="n">
        <x:v>3001</x:v>
      </x:c>
      <x:c r="G8" s="55" t="n">
        <x:v>359</x:v>
      </x:c>
      <x:c r="H8" s="57" t="n">
        <x:f>IFERROR(F8/E8,0)</x:f>
        <x:v>0.893154761904762</x:v>
      </x:c>
      <x:c r="I8" s="57" t="n">
        <x:f>IFERROR(G8/E8,0)</x:f>
        <x:v>0.10684523809523809</x:v>
      </x:c>
      <x:c r="J8" s="55"/>
      <x:c r="K8" s="55"/>
    </x:row>
    <x:row r="9" ht="25" customHeight="1">
      <x:c r="B9" s="55" t="str">
        <x:v>Montréal</x:v>
      </x:c>
      <x:c r="C9" s="55" t="str">
        <x:v>Logistics</x:v>
      </x:c>
      <x:c r="D9" s="55" t="n">
        <x:v>27</x:v>
      </x:c>
      <x:c r="E9" s="55" t="n">
        <x:v>4320</x:v>
      </x:c>
      <x:c r="F9" s="55" t="n">
        <x:v>4045</x:v>
      </x:c>
      <x:c r="G9" s="55" t="n">
        <x:v>275</x:v>
      </x:c>
      <x:c r="H9" s="57" t="n">
        <x:f>IFERROR(F9/E9,0)</x:f>
        <x:v>0.9363425925925926</x:v>
      </x:c>
      <x:c r="I9" s="57" t="n">
        <x:f>IFERROR(G9/E9,0)</x:f>
        <x:v>0.06365740740740741</x:v>
      </x:c>
      <x:c r="J9" s="55"/>
      <x:c r="K9" s="55"/>
    </x:row>
    <x:row r="10" ht="25" customHeight="1">
      <x:c r="B10" s="55" t="str">
        <x:v>Montréal</x:v>
      </x:c>
      <x:c r="C10" s="55" t="str">
        <x:v>Administration</x:v>
      </x:c>
      <x:c r="D10" s="55" t="n">
        <x:v>14</x:v>
      </x:c>
      <x:c r="E10" s="55" t="n">
        <x:v>2240</x:v>
      </x:c>
      <x:c r="F10" s="55" t="n">
        <x:v>2096</x:v>
      </x:c>
      <x:c r="G10" s="55" t="n">
        <x:v>144</x:v>
      </x:c>
      <x:c r="H10" s="57" t="n">
        <x:f>IFERROR(F10/E10,0)</x:f>
        <x:v>0.9357142857142857</x:v>
      </x:c>
      <x:c r="I10" s="57" t="n">
        <x:f>IFERROR(G10/E10,0)</x:f>
        <x:v>0.06428571428571428</x:v>
      </x:c>
      <x:c r="J10" s="55"/>
      <x:c r="K10" s="55"/>
    </x:row>
    <x:row r="11" ht="25" customHeight="1">
      <x:c r="B11" s="55" t="str">
        <x:v>Québec City</x:v>
      </x:c>
      <x:c r="C11" s="55" t="str">
        <x:v>Production</x:v>
      </x:c>
      <x:c r="D11" s="55" t="n">
        <x:v>31</x:v>
      </x:c>
      <x:c r="E11" s="55" t="n">
        <x:v>4960</x:v>
      </x:c>
      <x:c r="F11" s="55" t="n">
        <x:v>4705</x:v>
      </x:c>
      <x:c r="G11" s="55" t="n">
        <x:v>255</x:v>
      </x:c>
      <x:c r="H11" s="57" t="n">
        <x:f>IFERROR(F11/E11,0)</x:f>
        <x:v>0.9485887096774194</x:v>
      </x:c>
      <x:c r="I11" s="57" t="n">
        <x:f>IFERROR(G11/E11,0)</x:f>
        <x:v>0.05141129032258065</x:v>
      </x:c>
      <x:c r="J11" s="55"/>
      <x:c r="K11" s="55"/>
    </x:row>
    <x:row r="12" ht="25" customHeight="1">
      <x:c r="B12" s="55" t="str">
        <x:v>Québec City</x:v>
      </x:c>
      <x:c r="C12" s="55" t="str">
        <x:v>Maintenance</x:v>
      </x:c>
      <x:c r="D12" s="55" t="n">
        <x:v>14</x:v>
      </x:c>
      <x:c r="E12" s="55" t="n">
        <x:v>2240</x:v>
      </x:c>
      <x:c r="F12" s="55" t="n">
        <x:v>2139</x:v>
      </x:c>
      <x:c r="G12" s="55" t="n">
        <x:v>101</x:v>
      </x:c>
      <x:c r="H12" s="57" t="n">
        <x:f>IFERROR(F12/E12,0)</x:f>
        <x:v>0.9549107142857143</x:v>
      </x:c>
      <x:c r="I12" s="57" t="n">
        <x:f>IFERROR(G12/E12,0)</x:f>
        <x:v>0.045089285714285714</x:v>
      </x:c>
      <x:c r="J12" s="55"/>
      <x:c r="K12" s="55"/>
    </x:row>
    <x:row r="13" ht="25" customHeight="1">
      <x:c r="B13" s="55" t="str">
        <x:v>Québec City</x:v>
      </x:c>
      <x:c r="C13" s="55" t="str">
        <x:v>Quality</x:v>
      </x:c>
      <x:c r="D13" s="55" t="n">
        <x:v>17</x:v>
      </x:c>
      <x:c r="E13" s="55" t="n">
        <x:v>2720</x:v>
      </x:c>
      <x:c r="F13" s="55" t="n">
        <x:v>2438</x:v>
      </x:c>
      <x:c r="G13" s="55" t="n">
        <x:v>282</x:v>
      </x:c>
      <x:c r="H13" s="57" t="n">
        <x:f>IFERROR(F13/E13,0)</x:f>
        <x:v>0.8963235294117647</x:v>
      </x:c>
      <x:c r="I13" s="57" t="n">
        <x:f>IFERROR(G13/E13,0)</x:f>
        <x:v>0.1036764705882353</x:v>
      </x:c>
      <x:c r="J13" s="55"/>
      <x:c r="K13" s="55"/>
    </x:row>
    <x:row r="14" ht="25" customHeight="1">
      <x:c r="B14" s="55" t="str">
        <x:v>Québec City</x:v>
      </x:c>
      <x:c r="C14" s="55" t="str">
        <x:v>Logistics</x:v>
      </x:c>
      <x:c r="D14" s="55" t="n">
        <x:v>9</x:v>
      </x:c>
      <x:c r="E14" s="55" t="n">
        <x:v>1440</x:v>
      </x:c>
      <x:c r="F14" s="55" t="n">
        <x:v>1252</x:v>
      </x:c>
      <x:c r="G14" s="55" t="n">
        <x:v>188</x:v>
      </x:c>
      <x:c r="H14" s="57" t="n">
        <x:f>IFERROR(F14/E14,0)</x:f>
        <x:v>0.8694444444444445</x:v>
      </x:c>
      <x:c r="I14" s="57" t="n">
        <x:f>IFERROR(G14/E14,0)</x:f>
        <x:v>0.13055555555555556</x:v>
      </x:c>
      <x:c r="J14" s="55"/>
      <x:c r="K14" s="55"/>
    </x:row>
    <x:row r="15" ht="25" customHeight="1">
      <x:c r="B15" s="55" t="str">
        <x:v>Québec City</x:v>
      </x:c>
      <x:c r="C15" s="55" t="str">
        <x:v>Administration</x:v>
      </x:c>
      <x:c r="D15" s="55" t="n">
        <x:v>25</x:v>
      </x:c>
      <x:c r="E15" s="55" t="n">
        <x:v>4000</x:v>
      </x:c>
      <x:c r="F15" s="55" t="n">
        <x:v>3851</x:v>
      </x:c>
      <x:c r="G15" s="55" t="n">
        <x:v>149</x:v>
      </x:c>
      <x:c r="H15" s="57" t="n">
        <x:f>IFERROR(F15/E15,0)</x:f>
        <x:v>0.96275</x:v>
      </x:c>
      <x:c r="I15" s="57" t="n">
        <x:f>IFERROR(G15/E15,0)</x:f>
        <x:v>0.03725</x:v>
      </x:c>
      <x:c r="J15" s="55"/>
      <x:c r="K15" s="55"/>
    </x:row>
    <x:row r="16" ht="25" customHeight="1">
      <x:c r="B16" s="55" t="str">
        <x:v>Sherbrooke</x:v>
      </x:c>
      <x:c r="C16" s="55" t="str">
        <x:v>Production</x:v>
      </x:c>
      <x:c r="D16" s="55" t="n">
        <x:v>17</x:v>
      </x:c>
      <x:c r="E16" s="55" t="n">
        <x:v>2720</x:v>
      </x:c>
      <x:c r="F16" s="55" t="n">
        <x:v>2366</x:v>
      </x:c>
      <x:c r="G16" s="55" t="n">
        <x:v>354</x:v>
      </x:c>
      <x:c r="H16" s="57" t="n">
        <x:f>IFERROR(F16/E16,0)</x:f>
        <x:v>0.8698529411764706</x:v>
      </x:c>
      <x:c r="I16" s="57" t="n">
        <x:f>IFERROR(G16/E16,0)</x:f>
        <x:v>0.13014705882352942</x:v>
      </x:c>
      <x:c r="J16" s="55"/>
      <x:c r="K16" s="55"/>
    </x:row>
    <x:row r="17" ht="25" customHeight="1">
      <x:c r="B17" s="55" t="str">
        <x:v>Sherbrooke</x:v>
      </x:c>
      <x:c r="C17" s="55" t="str">
        <x:v>Maintenance</x:v>
      </x:c>
      <x:c r="D17" s="55" t="n">
        <x:v>22</x:v>
      </x:c>
      <x:c r="E17" s="55" t="n">
        <x:v>3520</x:v>
      </x:c>
      <x:c r="F17" s="55" t="n">
        <x:v>3152</x:v>
      </x:c>
      <x:c r="G17" s="55" t="n">
        <x:v>368</x:v>
      </x:c>
      <x:c r="H17" s="57" t="n">
        <x:f>IFERROR(F17/E17,0)</x:f>
        <x:v>0.8954545454545455</x:v>
      </x:c>
      <x:c r="I17" s="57" t="n">
        <x:f>IFERROR(G17/E17,0)</x:f>
        <x:v>0.10454545454545454</x:v>
      </x:c>
      <x:c r="J17" s="55"/>
      <x:c r="K17" s="55"/>
    </x:row>
    <x:row r="18" ht="25" customHeight="1">
      <x:c r="B18" s="55" t="str">
        <x:v>Sherbrooke</x:v>
      </x:c>
      <x:c r="C18" s="55" t="str">
        <x:v>Quality</x:v>
      </x:c>
      <x:c r="D18" s="55" t="n">
        <x:v>27</x:v>
      </x:c>
      <x:c r="E18" s="55" t="n">
        <x:v>4320</x:v>
      </x:c>
      <x:c r="F18" s="55" t="n">
        <x:v>3906</x:v>
      </x:c>
      <x:c r="G18" s="55" t="n">
        <x:v>414</x:v>
      </x:c>
      <x:c r="H18" s="57" t="n">
        <x:f>IFERROR(F18/E18,0)</x:f>
        <x:v>0.9041666666666667</x:v>
      </x:c>
      <x:c r="I18" s="57" t="n">
        <x:f>IFERROR(G18/E18,0)</x:f>
        <x:v>0.09583333333333334</x:v>
      </x:c>
      <x:c r="J18" s="55"/>
      <x:c r="K18" s="55"/>
    </x:row>
    <x:row r="19" ht="25" customHeight="1">
      <x:c r="B19" s="55" t="str">
        <x:v>Sherbrooke</x:v>
      </x:c>
      <x:c r="C19" s="55" t="str">
        <x:v>Logistics</x:v>
      </x:c>
      <x:c r="D19" s="55" t="n">
        <x:v>15</x:v>
      </x:c>
      <x:c r="E19" s="55" t="n">
        <x:v>2400</x:v>
      </x:c>
      <x:c r="F19" s="55" t="n">
        <x:v>2063</x:v>
      </x:c>
      <x:c r="G19" s="55" t="n">
        <x:v>337</x:v>
      </x:c>
      <x:c r="H19" s="57" t="n">
        <x:f>IFERROR(F19/E19,0)</x:f>
        <x:v>0.8595833333333334</x:v>
      </x:c>
      <x:c r="I19" s="57" t="n">
        <x:f>IFERROR(G19/E19,0)</x:f>
        <x:v>0.14041666666666666</x:v>
      </x:c>
      <x:c r="J19" s="55"/>
      <x:c r="K19" s="55"/>
    </x:row>
    <x:row r="20" ht="25" customHeight="1">
      <x:c r="B20" s="55" t="str">
        <x:v>Sherbrooke</x:v>
      </x:c>
      <x:c r="C20" s="55" t="str">
        <x:v>Administration</x:v>
      </x:c>
      <x:c r="D20" s="55" t="n">
        <x:v>30</x:v>
      </x:c>
      <x:c r="E20" s="55" t="n">
        <x:v>4800</x:v>
      </x:c>
      <x:c r="F20" s="55" t="n">
        <x:v>4409</x:v>
      </x:c>
      <x:c r="G20" s="55" t="n">
        <x:v>391</x:v>
      </x:c>
      <x:c r="H20" s="57" t="n">
        <x:f>IFERROR(F20/E20,0)</x:f>
        <x:v>0.9185416666666667</x:v>
      </x:c>
      <x:c r="I20" s="57" t="n">
        <x:f>IFERROR(G20/E20,0)</x:f>
        <x:v>0.08145833333333333</x:v>
      </x:c>
      <x:c r="J20" s="55"/>
      <x:c r="K20" s="55"/>
    </x:row>
    <x:row r="21" ht="24" customHeight="1"/>
    <x:row r="22" ht="24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PROJECT PORTFOLIO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2"/>
      <x:c r="B2" s="45" t="str">
        <x:v>Delivery tracking, budget exposure and exception management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Project ID</x:v>
      </x:c>
      <x:c r="C5" s="49" t="str">
        <x:v>Initiative</x:v>
      </x:c>
      <x:c r="D5" s="49" t="str">
        <x:v>Owner</x:v>
      </x:c>
      <x:c r="E5" s="49" t="str">
        <x:v>Facility</x:v>
      </x:c>
      <x:c r="F5" s="49" t="str">
        <x:v>Status</x:v>
      </x:c>
      <x:c r="G5" s="49" t="str">
        <x:v>Priority</x:v>
      </x:c>
      <x:c r="H5" s="49" t="str">
        <x:v>Budget</x:v>
      </x:c>
      <x:c r="I5" s="49" t="str">
        <x:v>Spent</x:v>
      </x:c>
      <x:c r="J5" s="49" t="str">
        <x:v>Variance</x:v>
      </x:c>
      <x:c r="K5" s="49" t="str">
        <x:v>Progress</x:v>
      </x:c>
    </x:row>
    <x:row r="6" ht="25" customHeight="1">
      <x:c r="B6" s="55" t="str">
        <x:v>VX-001</x:v>
      </x:c>
      <x:c r="C6" s="55" t="str">
        <x:v>MES rollout</x:v>
      </x:c>
      <x:c r="D6" s="55" t="str">
        <x:v>Samir Haddad</x:v>
      </x:c>
      <x:c r="E6" s="55" t="str">
        <x:v>Montréal</x:v>
      </x:c>
      <x:c r="F6" s="55" t="str">
        <x:v>On track</x:v>
      </x:c>
      <x:c r="G6" s="55" t="str">
        <x:v>High</x:v>
      </x:c>
      <x:c r="H6" s="55" t="n">
        <x:v>222752</x:v>
      </x:c>
      <x:c r="I6" s="55" t="n">
        <x:v>202629</x:v>
      </x:c>
      <x:c r="J6" s="55" t="n">
        <x:f>H6-I6</x:f>
        <x:v>20123</x:v>
      </x:c>
      <x:c r="K6" s="61" t="n">
        <x:v>0.55</x:v>
      </x:c>
    </x:row>
    <x:row r="7" ht="25" customHeight="1">
      <x:c r="B7" s="55" t="str">
        <x:v>VX-002</x:v>
      </x:c>
      <x:c r="C7" s="55" t="str">
        <x:v>Predictive maintenance</x:v>
      </x:c>
      <x:c r="D7" s="55" t="str">
        <x:v>Mirela Kovács</x:v>
      </x:c>
      <x:c r="E7" s="55" t="str">
        <x:v>Québec City</x:v>
      </x:c>
      <x:c r="F7" s="55" t="str">
        <x:v>At risk</x:v>
      </x:c>
      <x:c r="G7" s="55" t="str">
        <x:v>Medium</x:v>
      </x:c>
      <x:c r="H7" s="55" t="n">
        <x:v>294400</x:v>
      </x:c>
      <x:c r="I7" s="55" t="n">
        <x:v>160123</x:v>
      </x:c>
      <x:c r="J7" s="55" t="n">
        <x:f>H7-I7</x:f>
        <x:v>134277</x:v>
      </x:c>
      <x:c r="K7" s="61" t="n">
        <x:v>0.96</x:v>
      </x:c>
    </x:row>
    <x:row r="8" ht="25" customHeight="1">
      <x:c r="B8" s="55" t="str">
        <x:v>VX-003</x:v>
      </x:c>
      <x:c r="C8" s="55" t="str">
        <x:v>Supplier portal</x:v>
      </x:c>
      <x:c r="D8" s="55" t="str">
        <x:v>Ayaan Qureshi</x:v>
      </x:c>
      <x:c r="E8" s="55" t="str">
        <x:v>Sherbrooke</x:v>
      </x:c>
      <x:c r="F8" s="55" t="str">
        <x:v>Delayed</x:v>
      </x:c>
      <x:c r="G8" s="55" t="str">
        <x:v>Low</x:v>
      </x:c>
      <x:c r="H8" s="55" t="n">
        <x:v>157525</x:v>
      </x:c>
      <x:c r="I8" s="55" t="n">
        <x:v>107755</x:v>
      </x:c>
      <x:c r="J8" s="55" t="n">
        <x:f>H8-I8</x:f>
        <x:v>49770</x:v>
      </x:c>
      <x:c r="K8" s="61" t="n">
        <x:v>0.31</x:v>
      </x:c>
    </x:row>
    <x:row r="9" ht="25" customHeight="1">
      <x:c r="B9" s="55" t="str">
        <x:v>VX-004</x:v>
      </x:c>
      <x:c r="C9" s="55" t="str">
        <x:v>Packaging redesign</x:v>
      </x:c>
      <x:c r="D9" s="55" t="str">
        <x:v>Linh Tran</x:v>
      </x:c>
      <x:c r="E9" s="55" t="str">
        <x:v>Montréal</x:v>
      </x:c>
      <x:c r="F9" s="55" t="str">
        <x:v>On track</x:v>
      </x:c>
      <x:c r="G9" s="55" t="str">
        <x:v>High</x:v>
      </x:c>
      <x:c r="H9" s="55" t="n">
        <x:v>109702</x:v>
      </x:c>
      <x:c r="I9" s="55" t="n">
        <x:v>111682</x:v>
      </x:c>
      <x:c r="J9" s="55" t="n">
        <x:f>H9-I9</x:f>
        <x:v>-1980</x:v>
      </x:c>
      <x:c r="K9" s="61" t="n">
        <x:v>0.36</x:v>
      </x:c>
    </x:row>
    <x:row r="10" ht="25" customHeight="1">
      <x:c r="B10" s="55" t="str">
        <x:v>VX-005</x:v>
      </x:c>
      <x:c r="C10" s="55" t="str">
        <x:v>Energy optimization</x:v>
      </x:c>
      <x:c r="D10" s="55" t="str">
        <x:v>Zofia Nowak</x:v>
      </x:c>
      <x:c r="E10" s="55" t="str">
        <x:v>Québec City</x:v>
      </x:c>
      <x:c r="F10" s="55" t="str">
        <x:v>At risk</x:v>
      </x:c>
      <x:c r="G10" s="55" t="str">
        <x:v>Medium</x:v>
      </x:c>
      <x:c r="H10" s="55" t="n">
        <x:v>168876</x:v>
      </x:c>
      <x:c r="I10" s="55" t="n">
        <x:v>160850</x:v>
      </x:c>
      <x:c r="J10" s="55" t="n">
        <x:f>H10-I10</x:f>
        <x:v>8026</x:v>
      </x:c>
      <x:c r="K10" s="61" t="n">
        <x:v>0.55</x:v>
      </x:c>
    </x:row>
    <x:row r="11" ht="25" customHeight="1">
      <x:c r="B11" s="55" t="str">
        <x:v>VX-006</x:v>
      </x:c>
      <x:c r="C11" s="55" t="str">
        <x:v>Scheduling overhaul</x:v>
      </x:c>
      <x:c r="D11" s="55" t="str">
        <x:v>Mateo Ibáñez</x:v>
      </x:c>
      <x:c r="E11" s="55" t="str">
        <x:v>Sherbrooke</x:v>
      </x:c>
      <x:c r="F11" s="55" t="str">
        <x:v>Delayed</x:v>
      </x:c>
      <x:c r="G11" s="55" t="str">
        <x:v>Low</x:v>
      </x:c>
      <x:c r="H11" s="55" t="n">
        <x:v>118306</x:v>
      </x:c>
      <x:c r="I11" s="55" t="n">
        <x:v>66905</x:v>
      </x:c>
      <x:c r="J11" s="55" t="n">
        <x:f>H11-I11</x:f>
        <x:v>51401</x:v>
      </x:c>
      <x:c r="K11" s="61" t="n">
        <x:v>0.67</x:v>
      </x:c>
    </x:row>
    <x:row r="12" ht="25" customHeight="1">
      <x:c r="B12" s="55" t="str">
        <x:v>VX-007</x:v>
      </x:c>
      <x:c r="C12" s="55" t="str">
        <x:v>Quality traceability</x:v>
      </x:c>
      <x:c r="D12" s="55" t="str">
        <x:v>Noura El-Khoury</x:v>
      </x:c>
      <x:c r="E12" s="55" t="str">
        <x:v>Montréal</x:v>
      </x:c>
      <x:c r="F12" s="55" t="str">
        <x:v>On track</x:v>
      </x:c>
      <x:c r="G12" s="55" t="str">
        <x:v>High</x:v>
      </x:c>
      <x:c r="H12" s="55" t="n">
        <x:v>330392</x:v>
      </x:c>
      <x:c r="I12" s="55" t="n">
        <x:v>232153</x:v>
      </x:c>
      <x:c r="J12" s="55" t="n">
        <x:f>H12-I12</x:f>
        <x:v>98239</x:v>
      </x:c>
      <x:c r="K12" s="61" t="n">
        <x:v>0.94</x:v>
      </x:c>
    </x:row>
    <x:row r="13" ht="25" customHeight="1">
      <x:c r="B13" s="55" t="str">
        <x:v>VX-008</x:v>
      </x:c>
      <x:c r="C13" s="55" t="str">
        <x:v>Warehouse layout</x:v>
      </x:c>
      <x:c r="D13" s="55" t="str">
        <x:v>Tariq Mansour</x:v>
      </x:c>
      <x:c r="E13" s="55" t="str">
        <x:v>Québec City</x:v>
      </x:c>
      <x:c r="F13" s="55" t="str">
        <x:v>At risk</x:v>
      </x:c>
      <x:c r="G13" s="55" t="str">
        <x:v>Medium</x:v>
      </x:c>
      <x:c r="H13" s="55" t="n">
        <x:v>91019</x:v>
      </x:c>
      <x:c r="I13" s="55" t="n">
        <x:v>77027</x:v>
      </x:c>
      <x:c r="J13" s="55" t="n">
        <x:f>H13-I13</x:f>
        <x:v>13992</x:v>
      </x:c>
      <x:c r="K13" s="61" t="n">
        <x:v>0.33</x:v>
      </x:c>
    </x:row>
    <x:row r="14" ht="25" customHeight="1">
      <x:c r="B14" s="55" t="str">
        <x:v>VX-009</x:v>
      </x:c>
      <x:c r="C14" s="55" t="str">
        <x:v>Safety training</x:v>
      </x:c>
      <x:c r="D14" s="55" t="str">
        <x:v>Anika Patel</x:v>
      </x:c>
      <x:c r="E14" s="55" t="str">
        <x:v>Sherbrooke</x:v>
      </x:c>
      <x:c r="F14" s="55" t="str">
        <x:v>Delayed</x:v>
      </x:c>
      <x:c r="G14" s="55" t="str">
        <x:v>Low</x:v>
      </x:c>
      <x:c r="H14" s="55" t="n">
        <x:v>366527</x:v>
      </x:c>
      <x:c r="I14" s="55" t="n">
        <x:v>334762</x:v>
      </x:c>
      <x:c r="J14" s="55" t="n">
        <x:f>H14-I14</x:f>
        <x:v>31765</x:v>
      </x:c>
      <x:c r="K14" s="61" t="n">
        <x:v>0.8</x:v>
      </x:c>
    </x:row>
    <x:row r="15" ht="25" customHeight="1">
      <x:c r="B15" s="55" t="str">
        <x:v>VX-010</x:v>
      </x:c>
      <x:c r="C15" s="55" t="str">
        <x:v>ERP integration</x:v>
      </x:c>
      <x:c r="D15" s="55" t="str">
        <x:v>Youssef Benali</x:v>
      </x:c>
      <x:c r="E15" s="55" t="str">
        <x:v>Montréal</x:v>
      </x:c>
      <x:c r="F15" s="55" t="str">
        <x:v>On track</x:v>
      </x:c>
      <x:c r="G15" s="55" t="str">
        <x:v>High</x:v>
      </x:c>
      <x:c r="H15" s="55" t="n">
        <x:v>263349</x:v>
      </x:c>
      <x:c r="I15" s="55" t="n">
        <x:v>80578</x:v>
      </x:c>
      <x:c r="J15" s="55" t="n">
        <x:f>H15-I15</x:f>
        <x:v>182771</x:v>
      </x:c>
      <x:c r="K15" s="61" t="n">
        <x:v>0.56</x:v>
      </x:c>
    </x:row>
    <x:row r="16" ht="25" customHeight="1"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</x:row>
    <x:row r="17" ht="25" customHeight="1"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</x:row>
    <x:row r="18" ht="25" customHeight="1"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</x:row>
    <x:row r="19" ht="25" customHeight="1"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 ht="25" customHeight="1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24" customHeight="1"/>
    <x:row r="22" ht="24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RISK &amp; DECISION REGISTER</x:v>
      </x:c>
      <x:c r="C1" s="2"/>
      <x:c r="D1" s="2"/>
      <x:c r="E1" s="2"/>
      <x:c r="F1" s="2"/>
      <x:c r="G1" s="2"/>
      <x:c r="H1" s="2"/>
      <x:c r="I1" s="2"/>
      <x:c r="J1" s="2"/>
      <x:c r="K1" s="2"/>
    </x:row>
    <x:row r="2" ht="34" customHeight="1">
      <x:c r="A2" s="2"/>
      <x:c r="B2" s="45" t="str">
        <x:v>Owner accountability, likelihood, impact and mitigation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Risk ID</x:v>
      </x:c>
      <x:c r="C5" s="49" t="str">
        <x:v>Category</x:v>
      </x:c>
      <x:c r="D5" s="49" t="str">
        <x:v>Risk description</x:v>
      </x:c>
      <x:c r="E5" s="49" t="str">
        <x:v>Likelihood 1-5</x:v>
      </x:c>
      <x:c r="F5" s="49" t="str">
        <x:v>Impact 1-5</x:v>
      </x:c>
      <x:c r="G5" s="49" t="str">
        <x:v>Score</x:v>
      </x:c>
      <x:c r="H5" s="49" t="str">
        <x:v>Owner</x:v>
      </x:c>
      <x:c r="I5" s="49" t="str">
        <x:v>Response</x:v>
      </x:c>
      <x:c r="J5" s="49" t="str">
        <x:v>Status</x:v>
      </x:c>
      <x:c r="K5" s="49"/>
    </x:row>
    <x:row r="6" ht="25" customHeight="1">
      <x:c r="B6" s="55" t="str">
        <x:v>R-001</x:v>
      </x:c>
      <x:c r="C6" s="55" t="str">
        <x:v>Supply</x:v>
      </x:c>
      <x:c r="D6" s="55" t="str">
        <x:v>Single-source component shortage</x:v>
      </x:c>
      <x:c r="E6" s="55" t="n">
        <x:v>4</x:v>
      </x:c>
      <x:c r="F6" s="55" t="n">
        <x:v>5</x:v>
      </x:c>
      <x:c r="G6" s="55" t="n">
        <x:f>E6*F6</x:f>
        <x:v>20</x:v>
      </x:c>
      <x:c r="H6" s="55" t="str">
        <x:v>Linh Tran</x:v>
      </x:c>
      <x:c r="I6" s="55" t="str">
        <x:v>Qualify secondary supplier</x:v>
      </x:c>
      <x:c r="J6" s="55" t="str">
        <x:v>Open</x:v>
      </x:c>
      <x:c r="K6" s="55"/>
    </x:row>
    <x:row r="7" ht="25" customHeight="1">
      <x:c r="B7" s="55" t="str">
        <x:v>R-002</x:v>
      </x:c>
      <x:c r="C7" s="55" t="str">
        <x:v>People</x:v>
      </x:c>
      <x:c r="D7" s="55" t="str">
        <x:v>Skilled technician shortage</x:v>
      </x:c>
      <x:c r="E7" s="55" t="n">
        <x:v>3</x:v>
      </x:c>
      <x:c r="F7" s="55" t="n">
        <x:v>4</x:v>
      </x:c>
      <x:c r="G7" s="55" t="n">
        <x:f>E7*F7</x:f>
        <x:v>12</x:v>
      </x:c>
      <x:c r="H7" s="55" t="str">
        <x:v>Mirela Kovács</x:v>
      </x:c>
      <x:c r="I7" s="55" t="str">
        <x:v>Cross-train and adjust shifts</x:v>
      </x:c>
      <x:c r="J7" s="55" t="str">
        <x:v>Mitigating</x:v>
      </x:c>
      <x:c r="K7" s="55"/>
    </x:row>
    <x:row r="8" ht="25" customHeight="1">
      <x:c r="B8" s="55" t="str">
        <x:v>R-003</x:v>
      </x:c>
      <x:c r="C8" s="55" t="str">
        <x:v>Quality</x:v>
      </x:c>
      <x:c r="D8" s="55" t="str">
        <x:v>Defect spike at site 2</x:v>
      </x:c>
      <x:c r="E8" s="55" t="n">
        <x:v>4</x:v>
      </x:c>
      <x:c r="F8" s="55" t="n">
        <x:v>4</x:v>
      </x:c>
      <x:c r="G8" s="55" t="n">
        <x:f>E8*F8</x:f>
        <x:v>16</x:v>
      </x:c>
      <x:c r="H8" s="55" t="str">
        <x:v>Anika Patel</x:v>
      </x:c>
      <x:c r="I8" s="55" t="str">
        <x:v>Containment and root-cause review</x:v>
      </x:c>
      <x:c r="J8" s="55" t="str">
        <x:v>Open</x:v>
      </x:c>
      <x:c r="K8" s="55"/>
    </x:row>
    <x:row r="9" ht="25" customHeight="1">
      <x:c r="B9" s="55" t="str">
        <x:v>R-004</x:v>
      </x:c>
      <x:c r="C9" s="55" t="str">
        <x:v>IT</x:v>
      </x:c>
      <x:c r="D9" s="55" t="str">
        <x:v>MES integration outage</x:v>
      </x:c>
      <x:c r="E9" s="55" t="n">
        <x:v>2</x:v>
      </x:c>
      <x:c r="F9" s="55" t="n">
        <x:v>5</x:v>
      </x:c>
      <x:c r="G9" s="55" t="n">
        <x:f>E9*F9</x:f>
        <x:v>10</x:v>
      </x:c>
      <x:c r="H9" s="55" t="str">
        <x:v>Samir Haddad</x:v>
      </x:c>
      <x:c r="I9" s="55" t="str">
        <x:v>Rollback and failover tests</x:v>
      </x:c>
      <x:c r="J9" s="55" t="str">
        <x:v>Monitoring</x:v>
      </x:c>
      <x:c r="K9" s="55"/>
    </x:row>
    <x:row r="10" ht="25" customHeight="1">
      <x:c r="B10" s="55" t="str">
        <x:v>R-005</x:v>
      </x:c>
      <x:c r="C10" s="55" t="str">
        <x:v>Finance</x:v>
      </x:c>
      <x:c r="D10" s="55" t="str">
        <x:v>Energy cost above plan</x:v>
      </x:c>
      <x:c r="E10" s="55" t="n">
        <x:v>3</x:v>
      </x:c>
      <x:c r="F10" s="55" t="n">
        <x:v>3</x:v>
      </x:c>
      <x:c r="G10" s="55" t="n">
        <x:f>E10*F10</x:f>
        <x:v>9</x:v>
      </x:c>
      <x:c r="H10" s="55" t="str">
        <x:v>Zofia Nowak</x:v>
      </x:c>
      <x:c r="I10" s="55" t="str">
        <x:v>Reforecast utilities</x:v>
      </x:c>
      <x:c r="J10" s="55" t="str">
        <x:v>Mitigating</x:v>
      </x:c>
      <x:c r="K10" s="55"/>
    </x:row>
    <x:row r="11" ht="25" customHeight="1">
      <x:c r="B11" s="55" t="str">
        <x:v>R-006</x:v>
      </x:c>
      <x:c r="C11" s="55" t="str">
        <x:v>Delivery</x:v>
      </x:c>
      <x:c r="D11" s="55" t="str">
        <x:v>Warehouse project delay</x:v>
      </x:c>
      <x:c r="E11" s="55" t="n">
        <x:v>4</x:v>
      </x:c>
      <x:c r="F11" s="55" t="n">
        <x:v>3</x:v>
      </x:c>
      <x:c r="G11" s="55" t="n">
        <x:f>E11*F11</x:f>
        <x:v>12</x:v>
      </x:c>
      <x:c r="H11" s="55" t="str">
        <x:v>Tariq Mansour</x:v>
      </x:c>
      <x:c r="I11" s="55" t="str">
        <x:v>Rebaseline milestones</x:v>
      </x:c>
      <x:c r="J11" s="55" t="str">
        <x:v>Open</x:v>
      </x:c>
      <x:c r="K11" s="55"/>
    </x:row>
    <x:row r="12" ht="25" customHeight="1"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</x:row>
    <x:row r="13" ht="25" customHeight="1"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 ht="25" customHeight="1"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</x:row>
    <x:row r="15" ht="25" customHeight="1"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</x:row>
    <x:row r="16" ht="25" customHeight="1"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</x:row>
    <x:row r="17" ht="25" customHeight="1"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</x:row>
    <x:row r="18" ht="25" customHeight="1"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</x:row>
    <x:row r="19" ht="25" customHeight="1"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 ht="25" customHeight="1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24" customHeight="1"/>
    <x:row r="22" ht="24" customHeight="1"/>
  </x:sheetData>
  <x:conditionalFormatting sqref="G6:G1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SCENARIO LAB</x:v>
      </x:c>
      <x:c r="C1" s="2"/>
      <x:c r="D1" s="2"/>
      <x:c r="E1" s="2"/>
      <x:c r="F1" s="2"/>
      <x:c r="G1" s="2"/>
      <x:c r="H1" s="2"/>
    </x:row>
    <x:row r="2" ht="34" customHeight="1">
      <x:c r="A2" s="2"/>
      <x:c r="B2" s="45" t="str">
        <x:v>Change assumptions and compare modeled annual outcomes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Scenario</x:v>
      </x:c>
      <x:c r="C5" s="49" t="str">
        <x:v>Revenue growth</x:v>
      </x:c>
      <x:c r="D5" s="49" t="str">
        <x:v>Cost inflation</x:v>
      </x:c>
      <x:c r="E5" s="49" t="str">
        <x:v>Projected revenue</x:v>
      </x:c>
      <x:c r="F5" s="49" t="str">
        <x:v>Projected costs</x:v>
      </x:c>
      <x:c r="G5" s="49" t="str">
        <x:v>Operating result</x:v>
      </x:c>
      <x:c r="H5" s="49" t="str">
        <x:v>Operating margin</x:v>
      </x:c>
      <x:c r="I5" s="49"/>
      <x:c r="J5" s="49"/>
      <x:c r="K5" s="49"/>
    </x:row>
    <x:row r="6" ht="25" customHeight="1">
      <x:c r="B6" s="55" t="str">
        <x:v>Downside</x:v>
      </x:c>
      <x:c r="C6" s="61" t="n">
        <x:v>-0.08</x:v>
      </x:c>
      <x:c r="D6" s="61" t="n">
        <x:v>0.08</x:v>
      </x:c>
      <x:c r="E6" s="63" t="n">
        <x:f>FINANCIALS!C19*(1+C6)</x:f>
        <x:v>42376305.84</x:v>
      </x:c>
      <x:c r="F6" s="63" t="n">
        <x:f>(FINANCIALS!E19+FINANCIALS!F19+FINANCIALS!G19)*(1+D6)</x:f>
        <x:v>53788016.52</x:v>
      </x:c>
      <x:c r="G6" s="63" t="n">
        <x:f>E6-F6</x:f>
        <x:v>-11411710.68</x:v>
      </x:c>
      <x:c r="H6" s="57" t="n">
        <x:f>IFERROR(G6/E6,0)</x:f>
        <x:v>-0.2692946082437468</x:v>
      </x:c>
      <x:c r="I6" s="55"/>
      <x:c r="J6" s="55"/>
      <x:c r="K6" s="55"/>
    </x:row>
    <x:row r="7" ht="25" customHeight="1">
      <x:c r="B7" s="55" t="str">
        <x:v>Base case</x:v>
      </x:c>
      <x:c r="C7" s="61" t="n">
        <x:v>0.07</x:v>
      </x:c>
      <x:c r="D7" s="61" t="n">
        <x:v>0.04</x:v>
      </x:c>
      <x:c r="E7" s="63" t="n">
        <x:f>FINANCIALS!C19*(1+C7)</x:f>
        <x:v>49285486.14</x:v>
      </x:c>
      <x:c r="F7" s="63" t="n">
        <x:f>(FINANCIALS!E19+FINANCIALS!F19+FINANCIALS!G19)*(1+D7)</x:f>
        <x:v>51795867.760000005</x:v>
      </x:c>
      <x:c r="G7" s="63" t="n">
        <x:f>E7-F7</x:f>
        <x:v>-2510381.620000005</x:v>
      </x:c>
      <x:c r="H7" s="57" t="n">
        <x:f>IFERROR(G7/E7,0)</x:f>
        <x:v>-0.050935515029090564</x:v>
      </x:c>
      <x:c r="I7" s="55"/>
      <x:c r="J7" s="55"/>
      <x:c r="K7" s="55"/>
    </x:row>
    <x:row r="8" ht="25" customHeight="1">
      <x:c r="B8" s="55" t="str">
        <x:v>Upside</x:v>
      </x:c>
      <x:c r="C8" s="61" t="n">
        <x:v>0.16</x:v>
      </x:c>
      <x:c r="D8" s="61" t="n">
        <x:v>0.02</x:v>
      </x:c>
      <x:c r="E8" s="63" t="n">
        <x:f>FINANCIALS!C19*(1+C8)</x:f>
        <x:v>53430994.31999999</x:v>
      </x:c>
      <x:c r="F8" s="63" t="n">
        <x:f>(FINANCIALS!E19+FINANCIALS!F19+FINANCIALS!G19)*(1+D8)</x:f>
        <x:v>50799793.38</x:v>
      </x:c>
      <x:c r="G8" s="63" t="n">
        <x:f>E8-F8</x:f>
        <x:v>2631200.93999999</x:v>
      </x:c>
      <x:c r="H8" s="57" t="n">
        <x:f>IFERROR(G8/E8,0)</x:f>
        <x:v>0.049244843250373385</x:v>
      </x:c>
      <x:c r="I8" s="55"/>
      <x:c r="J8" s="55"/>
      <x:c r="K8" s="55"/>
    </x:row>
    <x:row r="9" ht="25" customHeight="1">
      <x:c r="B9" s="55"/>
      <x:c r="C9" s="55"/>
      <x:c r="D9" s="55"/>
      <x:c r="E9" s="55"/>
      <x:c r="F9" s="55"/>
      <x:c r="G9" s="55"/>
      <x:c r="H9" s="55"/>
      <x:c r="I9" s="55"/>
      <x:c r="J9" s="55"/>
      <x:c r="K9" s="55"/>
    </x:row>
    <x:row r="10" ht="25" customHeight="1">
      <x:c r="B10" s="55"/>
      <x:c r="C10" s="55"/>
      <x:c r="D10" s="55"/>
      <x:c r="E10" s="55"/>
      <x:c r="F10" s="55"/>
      <x:c r="G10" s="55"/>
      <x:c r="H10" s="55"/>
      <x:c r="I10" s="55"/>
      <x:c r="J10" s="55"/>
      <x:c r="K10" s="55"/>
    </x:row>
    <x:row r="11" ht="25" customHeight="1">
      <x:c r="B11" s="55"/>
      <x:c r="C11" s="55"/>
      <x:c r="D11" s="55"/>
      <x:c r="E11" s="55"/>
      <x:c r="F11" s="55"/>
      <x:c r="G11" s="55"/>
      <x:c r="H11" s="55"/>
      <x:c r="I11" s="55"/>
      <x:c r="J11" s="55"/>
      <x:c r="K11" s="55"/>
    </x:row>
    <x:row r="12" ht="25" customHeight="1">
      <x:c r="B12" s="55"/>
      <x:c r="C12" s="55"/>
      <x:c r="D12" s="55"/>
      <x:c r="E12" s="55"/>
      <x:c r="F12" s="55"/>
      <x:c r="G12" s="55"/>
      <x:c r="H12" s="55"/>
      <x:c r="I12" s="55"/>
      <x:c r="J12" s="55"/>
      <x:c r="K12" s="55"/>
    </x:row>
    <x:row r="13" ht="25" customHeight="1"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</x:row>
    <x:row r="14" ht="25" customHeight="1">
      <x:c r="B14" s="55"/>
      <x:c r="C14" s="55"/>
      <x:c r="D14" s="55"/>
      <x:c r="E14" s="55"/>
      <x:c r="F14" s="55"/>
      <x:c r="G14" s="55"/>
      <x:c r="H14" s="55"/>
      <x:c r="I14" s="55"/>
      <x:c r="J14" s="55"/>
      <x:c r="K14" s="55"/>
    </x:row>
    <x:row r="15" ht="25" customHeight="1">
      <x:c r="B15" s="55"/>
      <x:c r="C15" s="55"/>
      <x:c r="D15" s="55"/>
      <x:c r="E15" s="55"/>
      <x:c r="F15" s="55"/>
      <x:c r="G15" s="55"/>
      <x:c r="H15" s="55"/>
      <x:c r="I15" s="55"/>
      <x:c r="J15" s="55"/>
      <x:c r="K15" s="55"/>
    </x:row>
    <x:row r="16" ht="25" customHeight="1">
      <x:c r="B16" s="55"/>
      <x:c r="C16" s="55"/>
      <x:c r="D16" s="55"/>
      <x:c r="E16" s="55"/>
      <x:c r="F16" s="55"/>
      <x:c r="G16" s="55"/>
      <x:c r="H16" s="55"/>
      <x:c r="I16" s="55"/>
      <x:c r="J16" s="55"/>
      <x:c r="K16" s="55"/>
    </x:row>
    <x:row r="17" ht="25" customHeight="1">
      <x:c r="B17" s="55"/>
      <x:c r="C17" s="55"/>
      <x:c r="D17" s="55"/>
      <x:c r="E17" s="55"/>
      <x:c r="F17" s="55"/>
      <x:c r="G17" s="55"/>
      <x:c r="H17" s="55"/>
      <x:c r="I17" s="55"/>
      <x:c r="J17" s="55"/>
      <x:c r="K17" s="55"/>
    </x:row>
    <x:row r="18" ht="25" customHeight="1">
      <x:c r="B18" s="55"/>
      <x:c r="C18" s="55"/>
      <x:c r="D18" s="55"/>
      <x:c r="E18" s="55"/>
      <x:c r="F18" s="55"/>
      <x:c r="G18" s="55"/>
      <x:c r="H18" s="55"/>
      <x:c r="I18" s="55"/>
      <x:c r="J18" s="55"/>
      <x:c r="K18" s="55"/>
    </x:row>
    <x:row r="19" ht="25" customHeight="1">
      <x:c r="B19" s="55"/>
      <x:c r="C19" s="55"/>
      <x:c r="D19" s="55"/>
      <x:c r="E19" s="55"/>
      <x:c r="F19" s="55"/>
      <x:c r="G19" s="55"/>
      <x:c r="H19" s="55"/>
      <x:c r="I19" s="55"/>
      <x:c r="J19" s="55"/>
      <x:c r="K19" s="55"/>
    </x:row>
    <x:row r="20" ht="25" customHeight="1">
      <x:c r="B20" s="55"/>
      <x:c r="C20" s="55"/>
      <x:c r="D20" s="55"/>
      <x:c r="E20" s="55"/>
      <x:c r="F20" s="55"/>
      <x:c r="G20" s="55"/>
      <x:c r="H20" s="55"/>
      <x:c r="I20" s="55"/>
      <x:c r="J20" s="55"/>
      <x:c r="K20" s="55"/>
    </x:row>
    <x:row r="21" ht="24" customHeight="1"/>
    <x:row r="22" ht="24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3" hidden="0" customWidth="1"/>
    <x:col min="3" max="3" width="2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>
      <x:c r="A1" s="2"/>
      <x:c r="B1" s="8" t="str">
        <x:v>DATA DICTIONARY</x:v>
      </x:c>
      <x:c r="C1" s="2"/>
      <x:c r="D1" s="2"/>
      <x:c r="E1" s="2"/>
      <x:c r="F1" s="2"/>
    </x:row>
    <x:row r="2" ht="34" customHeight="1">
      <x:c r="A2" s="2"/>
      <x:c r="B2" s="45" t="str">
        <x:v>Field definitions, data provenance and business logic</x:v>
      </x:c>
      <x:c r="C2" s="45"/>
      <x:c r="D2" s="45"/>
      <x:c r="E2" s="45"/>
      <x:c r="F2" s="45"/>
      <x:c r="G2" s="45"/>
      <x:c r="H2" s="45"/>
      <x:c r="I2" s="45"/>
      <x:c r="J2" s="45"/>
      <x:c r="K2" s="45"/>
    </x:row>
    <x:row r="3" ht="26" customHeight="1">
      <x:c r="B3" s="45"/>
      <x:c r="C3" s="45"/>
      <x:c r="D3" s="45"/>
      <x:c r="E3" s="45"/>
      <x:c r="F3" s="45"/>
      <x:c r="G3" s="45"/>
      <x:c r="H3" s="45"/>
      <x:c r="I3" s="45"/>
      <x:c r="J3" s="45"/>
      <x:c r="K3" s="45"/>
    </x:row>
    <x:row r="5" ht="32" customHeight="1">
      <x:c r="B5" s="49" t="str">
        <x:v>Sheet</x:v>
      </x:c>
      <x:c r="C5" s="49" t="str">
        <x:v>Field</x:v>
      </x:c>
      <x:c r="D5" s="49" t="str">
        <x:v>Definition</x:v>
      </x:c>
      <x:c r="E5" s="49" t="str">
        <x:v>Source</x:v>
      </x:c>
      <x:c r="F5" s="49" t="str">
        <x:v>Control</x:v>
      </x:c>
      <x:c r="G5" s="49"/>
      <x:c r="H5" s="49"/>
      <x:c r="I5" s="49"/>
      <x:c r="J5" s="49"/>
      <x:c r="K5" s="49"/>
    </x:row>
    <x:row r="6" ht="24" customHeight="1">
      <x:c r="B6" t="str">
        <x:v>FINANCIALS</x:v>
      </x:c>
      <x:c r="C6" t="str">
        <x:v>Revenue actual</x:v>
      </x:c>
      <x:c r="D6" t="str">
        <x:v>Monthly invoiced sales</x:v>
      </x:c>
      <x:c r="E6" t="str">
        <x:v>Simulated</x:v>
      </x:c>
      <x:c r="F6" t="str">
        <x:v>Non-negative</x:v>
      </x:c>
    </x:row>
    <x:row r="7" ht="24" customHeight="1">
      <x:c r="B7" t="str">
        <x:v>FINANCIALS</x:v>
      </x:c>
      <x:c r="C7" t="str">
        <x:v>Operating profit</x:v>
      </x:c>
      <x:c r="D7" t="str">
        <x:v>Revenue less direct costs, labor and overhead</x:v>
      </x:c>
      <x:c r="E7" t="str">
        <x:v>Formula</x:v>
      </x:c>
      <x:c r="F7" t="str">
        <x:v>Reconcile monthly</x:v>
      </x:c>
    </x:row>
    <x:row r="8" ht="24" customHeight="1">
      <x:c r="B8" t="str">
        <x:v>FINANCIALS</x:v>
      </x:c>
      <x:c r="C8" t="str">
        <x:v>Budget variance</x:v>
      </x:c>
      <x:c r="D8" t="str">
        <x:v>Actual revenue less budget</x:v>
      </x:c>
      <x:c r="E8" t="str">
        <x:v>Formula</x:v>
      </x:c>
      <x:c r="F8" t="str">
        <x:v>Compare to target</x:v>
      </x:c>
    </x:row>
    <x:row r="9" ht="24" customHeight="1">
      <x:c r="B9" t="str">
        <x:v>OPERATIONS</x:v>
      </x:c>
      <x:c r="C9" t="str">
        <x:v>Utilization</x:v>
      </x:c>
      <x:c r="D9" t="str">
        <x:v>Units produced divided by available capacity</x:v>
      </x:c>
      <x:c r="E9" t="str">
        <x:v>Formula</x:v>
      </x:c>
      <x:c r="F9" t="str">
        <x:v>Review &gt;100%</x:v>
      </x:c>
    </x:row>
    <x:row r="10" ht="24" customHeight="1">
      <x:c r="B10" t="str">
        <x:v>OPERATIONS</x:v>
      </x:c>
      <x:c r="C10" t="str">
        <x:v>Defect rate</x:v>
      </x:c>
      <x:c r="D10" t="str">
        <x:v>Defective units divided by production</x:v>
      </x:c>
      <x:c r="E10" t="str">
        <x:v>Formula</x:v>
      </x:c>
      <x:c r="F10" t="str">
        <x:v>Compare tolerance</x:v>
      </x:c>
    </x:row>
    <x:row r="11" ht="24" customHeight="1">
      <x:c r="B11" t="str">
        <x:v>OPERATIONS</x:v>
      </x:c>
      <x:c r="C11" t="str">
        <x:v>OTD rate</x:v>
      </x:c>
      <x:c r="D11" t="str">
        <x:v>On-time orders divided by total orders</x:v>
      </x:c>
      <x:c r="E11" t="str">
        <x:v>Formula</x:v>
      </x:c>
      <x:c r="F11" t="str">
        <x:v>Range 0–100%</x:v>
      </x:c>
    </x:row>
    <x:row r="12" ht="24" customHeight="1">
      <x:c r="B12" t="str">
        <x:v>WORKFORCE</x:v>
      </x:c>
      <x:c r="C12" t="str">
        <x:v>Absence rate</x:v>
      </x:c>
      <x:c r="D12" t="str">
        <x:v>Absence hours divided by scheduled hours</x:v>
      </x:c>
      <x:c r="E12" t="str">
        <x:v>Formula</x:v>
      </x:c>
      <x:c r="F12" t="str">
        <x:v>Review anomalies</x:v>
      </x:c>
    </x:row>
    <x:row r="13" ht="24" customHeight="1">
      <x:c r="B13" t="str">
        <x:v>PROJECTS</x:v>
      </x:c>
      <x:c r="C13" t="str">
        <x:v>Variance</x:v>
      </x:c>
      <x:c r="D13" t="str">
        <x:v>Approved budget less amount spent</x:v>
      </x:c>
      <x:c r="E13" t="str">
        <x:v>Formula</x:v>
      </x:c>
      <x:c r="F13" t="str">
        <x:v>Negative indicates overspend</x:v>
      </x:c>
    </x:row>
    <x:row r="14" ht="24" customHeight="1">
      <x:c r="B14" t="str">
        <x:v>RISK REGISTER</x:v>
      </x:c>
      <x:c r="C14" t="str">
        <x:v>Score</x:v>
      </x:c>
      <x:c r="D14" t="str">
        <x:v>Likelihood multiplied by impact</x:v>
      </x:c>
      <x:c r="E14" t="str">
        <x:v>Formula</x:v>
      </x:c>
      <x:c r="F14" t="str">
        <x:v>Scale 1–25</x:v>
      </x:c>
    </x:row>
    <x:row r="15" ht="24" customHeight="1">
      <x:c r="B15" t="str">
        <x:v>SCENARIOS</x:v>
      </x:c>
      <x:c r="C15" t="str">
        <x:v>Operating result</x:v>
      </x:c>
      <x:c r="D15" t="str">
        <x:v>Projected revenue less projected costs</x:v>
      </x:c>
      <x:c r="E15" t="str">
        <x:v>Formula</x:v>
      </x:c>
      <x:c r="F15" t="str">
        <x:v>Illustrative sensitivity</x:v>
      </x:c>
    </x:row>
    <x:row r="16" ht="24" customHeight="1"/>
    <x:row r="17" ht="24" customHeight="1"/>
    <x:row r="18" ht="24" customHeight="1"/>
    <x:row r="19" ht="24" customHeight="1"/>
    <x:row r="20" ht="24" customHeight="1"/>
    <x:row r="21" ht="24" customHeight="1"/>
    <x:row r="22" ht="24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3" hidden="0" customWidth="1"/>
    <x:col min="5" max="5" width="13" hidden="0" customWidth="1"/>
    <x:col min="6" max="6" width="20" hidden="0" customWidth="1"/>
    <x:col min="7" max="7" width="20" hidden="0" customWidth="1"/>
    <x:col min="8" max="8" width="16" hidden="0" customWidth="1"/>
    <x:col min="9" max="9" width="17" hidden="0" customWidth="1"/>
    <x:col min="10" max="10" width="16" hidden="0" customWidth="1"/>
    <x:col min="11" max="11" width="17" hidden="0" customWidth="1"/>
    <x:col min="12" max="12" width="3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77" t="str">
        <x:v>VECTRA  /  GEO INTELLIGENCE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>
      <x:c r="A2" s="74"/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</x:row>
    <x:row r="3">
      <x:c r="A3" s="78" t="str">
        <x:v>REGIONAL OPERATIONS  •  SIMULATED CANADIAN NETWORK</x:v>
      </x:c>
    </x:row>
    <x:row r="5" ht="30" customHeight="1">
      <x:c r="A5" s="80" t="str">
        <x:v>Location</x:v>
      </x:c>
      <x:c r="B5" s="80" t="str">
        <x:v>Province</x:v>
      </x:c>
      <x:c r="C5" s="80" t="str">
        <x:v>Region</x:v>
      </x:c>
      <x:c r="D5" s="80" t="str">
        <x:v>Latitude</x:v>
      </x:c>
      <x:c r="E5" s="80" t="str">
        <x:v>Longitude</x:v>
      </x:c>
      <x:c r="F5" s="80" t="str">
        <x:v>Revenue (CAD)</x:v>
      </x:c>
      <x:c r="G5" s="80" t="str">
        <x:v>Target (CAD)</x:v>
      </x:c>
      <x:c r="H5" s="80" t="str">
        <x:v>Attainment</x:v>
      </x:c>
      <x:c r="I5" s="80" t="str">
        <x:v>Service Level</x:v>
      </x:c>
      <x:c r="J5" s="80" t="str">
        <x:v>Risk Index</x:v>
      </x:c>
      <x:c r="K5" s="80" t="str">
        <x:v>Status</x:v>
      </x:c>
    </x:row>
    <x:row r="6">
      <x:c r="A6" s="81" t="str">
        <x:v>Montréal</x:v>
      </x:c>
      <x:c r="B6" s="81" t="str">
        <x:v>QC</x:v>
      </x:c>
      <x:c r="C6" s="81" t="str">
        <x:v>East</x:v>
      </x:c>
      <x:c r="D6" s="85" t="n">
        <x:v>45.5017</x:v>
      </x:c>
      <x:c r="E6" s="85" t="n">
        <x:v>-73.5673</x:v>
      </x:c>
      <x:c r="F6" s="82" t="n">
        <x:v>6200000</x:v>
      </x:c>
      <x:c r="G6" s="82" t="n">
        <x:v>6000000</x:v>
      </x:c>
      <x:c r="H6" s="84" t="n">
        <x:f>IFERROR(F6/G6,0)</x:f>
        <x:v>1.0333333333333334</x:v>
      </x:c>
      <x:c r="I6" s="84" t="n">
        <x:v>0.971</x:v>
      </x:c>
      <x:c r="J6" s="81" t="n">
        <x:v>24</x:v>
      </x:c>
      <x:c r="K6" s="81" t="str">
        <x:f>IF(OR(H6&lt;0.92,I6&lt;0.93,J6&gt;=60),"ESCALATE",IF(OR(H6&lt;1,J6&gt;=45),"WATCH","ON TRACK"))</x:f>
        <x:v>ON TRACK</x:v>
      </x:c>
    </x:row>
    <x:row r="7">
      <x:c r="A7" t="str">
        <x:v>Québec City</x:v>
      </x:c>
      <x:c r="B7" t="str">
        <x:v>QC</x:v>
      </x:c>
      <x:c r="C7" t="str">
        <x:v>East</x:v>
      </x:c>
      <x:c r="D7" s="86" t="n">
        <x:v>46.8139</x:v>
      </x:c>
      <x:c r="E7" s="86" t="n">
        <x:v>-71.208</x:v>
      </x:c>
      <x:c r="F7" s="83" t="n">
        <x:v>3100000</x:v>
      </x:c>
      <x:c r="G7" s="83" t="n">
        <x:v>3500000</x:v>
      </x:c>
      <x:c r="H7" s="20" t="n">
        <x:f>IFERROR(F7/G7,0)</x:f>
        <x:v>0.8857142857142857</x:v>
      </x:c>
      <x:c r="I7" s="20" t="n">
        <x:v>0.932</x:v>
      </x:c>
      <x:c r="J7" t="n">
        <x:v>48</x:v>
      </x:c>
      <x:c r="K7" t="str">
        <x:f>IF(OR(H7&lt;0.92,I7&lt;0.93,J7&gt;=60),"ESCALATE",IF(OR(H7&lt;1,J7&gt;=45),"WATCH","ON TRACK"))</x:f>
        <x:v>ESCALATE</x:v>
      </x:c>
    </x:row>
    <x:row r="8">
      <x:c r="A8" s="81" t="str">
        <x:v>Ottawa</x:v>
      </x:c>
      <x:c r="B8" s="81" t="str">
        <x:v>ON</x:v>
      </x:c>
      <x:c r="C8" s="81" t="str">
        <x:v>Central</x:v>
      </x:c>
      <x:c r="D8" s="85" t="n">
        <x:v>45.4215</x:v>
      </x:c>
      <x:c r="E8" s="85" t="n">
        <x:v>-75.6972</x:v>
      </x:c>
      <x:c r="F8" s="82" t="n">
        <x:v>2800000</x:v>
      </x:c>
      <x:c r="G8" s="82" t="n">
        <x:v>2700000</x:v>
      </x:c>
      <x:c r="H8" s="84" t="n">
        <x:f>IFERROR(F8/G8,0)</x:f>
        <x:v>1.037037037037037</x:v>
      </x:c>
      <x:c r="I8" s="84" t="n">
        <x:v>0.976</x:v>
      </x:c>
      <x:c r="J8" s="81" t="n">
        <x:v>18</x:v>
      </x:c>
      <x:c r="K8" s="81" t="str">
        <x:f>IF(OR(H8&lt;0.92,I8&lt;0.93,J8&gt;=60),"ESCALATE",IF(OR(H8&lt;1,J8&gt;=45),"WATCH","ON TRACK"))</x:f>
        <x:v>ON TRACK</x:v>
      </x:c>
    </x:row>
    <x:row r="9">
      <x:c r="A9" t="str">
        <x:v>Toronto</x:v>
      </x:c>
      <x:c r="B9" t="str">
        <x:v>ON</x:v>
      </x:c>
      <x:c r="C9" t="str">
        <x:v>Central</x:v>
      </x:c>
      <x:c r="D9" s="86" t="n">
        <x:v>43.6532</x:v>
      </x:c>
      <x:c r="E9" s="86" t="n">
        <x:v>-79.3832</x:v>
      </x:c>
      <x:c r="F9" s="83" t="n">
        <x:v>7900000</x:v>
      </x:c>
      <x:c r="G9" s="83" t="n">
        <x:v>7500000</x:v>
      </x:c>
      <x:c r="H9" s="20" t="n">
        <x:f>IFERROR(F9/G9,0)</x:f>
        <x:v>1.0533333333333332</x:v>
      </x:c>
      <x:c r="I9" s="20" t="n">
        <x:v>0.951</x:v>
      </x:c>
      <x:c r="J9" t="n">
        <x:v>33</x:v>
      </x:c>
      <x:c r="K9" t="str">
        <x:f>IF(OR(H9&lt;0.92,I9&lt;0.93,J9&gt;=60),"ESCALATE",IF(OR(H9&lt;1,J9&gt;=45),"WATCH","ON TRACK"))</x:f>
        <x:v>ON TRACK</x:v>
      </x:c>
    </x:row>
    <x:row r="10">
      <x:c r="A10" s="81" t="str">
        <x:v>Hamilton</x:v>
      </x:c>
      <x:c r="B10" s="81" t="str">
        <x:v>ON</x:v>
      </x:c>
      <x:c r="C10" s="81" t="str">
        <x:v>Central</x:v>
      </x:c>
      <x:c r="D10" s="85" t="n">
        <x:v>43.2557</x:v>
      </x:c>
      <x:c r="E10" s="85" t="n">
        <x:v>-79.8711</x:v>
      </x:c>
      <x:c r="F10" s="82" t="n">
        <x:v>2300000</x:v>
      </x:c>
      <x:c r="G10" s="82" t="n">
        <x:v>2600000</x:v>
      </x:c>
      <x:c r="H10" s="84" t="n">
        <x:f>IFERROR(F10/G10,0)</x:f>
        <x:v>0.8846153846153846</x:v>
      </x:c>
      <x:c r="I10" s="84" t="n">
        <x:v>0.911</x:v>
      </x:c>
      <x:c r="J10" s="81" t="n">
        <x:v>63</x:v>
      </x:c>
      <x:c r="K10" s="81" t="str">
        <x:f>IF(OR(H10&lt;0.92,I10&lt;0.93,J10&gt;=60),"ESCALATE",IF(OR(H10&lt;1,J10&gt;=45),"WATCH","ON TRACK"))</x:f>
        <x:v>ESCALATE</x:v>
      </x:c>
    </x:row>
    <x:row r="11">
      <x:c r="A11" t="str">
        <x:v>London</x:v>
      </x:c>
      <x:c r="B11" t="str">
        <x:v>ON</x:v>
      </x:c>
      <x:c r="C11" t="str">
        <x:v>Central</x:v>
      </x:c>
      <x:c r="D11" s="86" t="n">
        <x:v>42.9849</x:v>
      </x:c>
      <x:c r="E11" s="86" t="n">
        <x:v>-81.2453</x:v>
      </x:c>
      <x:c r="F11" s="83" t="n">
        <x:v>1800000</x:v>
      </x:c>
      <x:c r="G11" s="83" t="n">
        <x:v>1900000</x:v>
      </x:c>
      <x:c r="H11" s="20" t="n">
        <x:f>IFERROR(F11/G11,0)</x:f>
        <x:v>0.9473684210526315</x:v>
      </x:c>
      <x:c r="I11" s="20" t="n">
        <x:v>0.956</x:v>
      </x:c>
      <x:c r="J11" t="n">
        <x:v>39</x:v>
      </x:c>
      <x:c r="K11" t="str">
        <x:f>IF(OR(H11&lt;0.92,I11&lt;0.93,J11&gt;=60),"ESCALATE",IF(OR(H11&lt;1,J11&gt;=45),"WATCH","ON TRACK"))</x:f>
        <x:v>WATCH</x:v>
      </x:c>
    </x:row>
    <x:row r="12">
      <x:c r="A12" s="81" t="str">
        <x:v>Winnipeg</x:v>
      </x:c>
      <x:c r="B12" s="81" t="str">
        <x:v>MB</x:v>
      </x:c>
      <x:c r="C12" s="81" t="str">
        <x:v>Prairies</x:v>
      </x:c>
      <x:c r="D12" s="85" t="n">
        <x:v>49.8951</x:v>
      </x:c>
      <x:c r="E12" s="85" t="n">
        <x:v>-97.1384</x:v>
      </x:c>
      <x:c r="F12" s="82" t="n">
        <x:v>2600000</x:v>
      </x:c>
      <x:c r="G12" s="82" t="n">
        <x:v>2400000</x:v>
      </x:c>
      <x:c r="H12" s="84" t="n">
        <x:f>IFERROR(F12/G12,0)</x:f>
        <x:v>1.0833333333333333</x:v>
      </x:c>
      <x:c r="I12" s="84" t="n">
        <x:v>0.969</x:v>
      </x:c>
      <x:c r="J12" s="81" t="n">
        <x:v>28</x:v>
      </x:c>
      <x:c r="K12" s="81" t="str">
        <x:f>IF(OR(H12&lt;0.92,I12&lt;0.93,J12&gt;=60),"ESCALATE",IF(OR(H12&lt;1,J12&gt;=45),"WATCH","ON TRACK"))</x:f>
        <x:v>ON TRACK</x:v>
      </x:c>
    </x:row>
    <x:row r="13">
      <x:c r="A13" t="str">
        <x:v>Regina</x:v>
      </x:c>
      <x:c r="B13" t="str">
        <x:v>SK</x:v>
      </x:c>
      <x:c r="C13" t="str">
        <x:v>Prairies</x:v>
      </x:c>
      <x:c r="D13" s="86" t="n">
        <x:v>50.4452</x:v>
      </x:c>
      <x:c r="E13" s="86" t="n">
        <x:v>-104.6189</x:v>
      </x:c>
      <x:c r="F13" s="83" t="n">
        <x:v>1500000</x:v>
      </x:c>
      <x:c r="G13" s="83" t="n">
        <x:v>1700000</x:v>
      </x:c>
      <x:c r="H13" s="20" t="n">
        <x:f>IFERROR(F13/G13,0)</x:f>
        <x:v>0.8823529411764706</x:v>
      </x:c>
      <x:c r="I13" s="20" t="n">
        <x:v>0.904</x:v>
      </x:c>
      <x:c r="J13" t="n">
        <x:v>71</x:v>
      </x:c>
      <x:c r="K13" t="str">
        <x:f>IF(OR(H13&lt;0.92,I13&lt;0.93,J13&gt;=60),"ESCALATE",IF(OR(H13&lt;1,J13&gt;=45),"WATCH","ON TRACK"))</x:f>
        <x:v>ESCALATE</x:v>
      </x:c>
    </x:row>
    <x:row r="14">
      <x:c r="A14" s="81" t="str">
        <x:v>Calgary</x:v>
      </x:c>
      <x:c r="B14" s="81" t="str">
        <x:v>AB</x:v>
      </x:c>
      <x:c r="C14" s="81" t="str">
        <x:v>West</x:v>
      </x:c>
      <x:c r="D14" s="85" t="n">
        <x:v>51.0447</x:v>
      </x:c>
      <x:c r="E14" s="85" t="n">
        <x:v>-114.0719</x:v>
      </x:c>
      <x:c r="F14" s="82" t="n">
        <x:v>5100000</x:v>
      </x:c>
      <x:c r="G14" s="82" t="n">
        <x:v>4800000</x:v>
      </x:c>
      <x:c r="H14" s="84" t="n">
        <x:f>IFERROR(F14/G14,0)</x:f>
        <x:v>1.0625</x:v>
      </x:c>
      <x:c r="I14" s="84" t="n">
        <x:v>0.983</x:v>
      </x:c>
      <x:c r="J14" s="81" t="n">
        <x:v>17</x:v>
      </x:c>
      <x:c r="K14" s="81" t="str">
        <x:f>IF(OR(H14&lt;0.92,I14&lt;0.93,J14&gt;=60),"ESCALATE",IF(OR(H14&lt;1,J14&gt;=45),"WATCH","ON TRACK"))</x:f>
        <x:v>ON TRACK</x:v>
      </x:c>
    </x:row>
    <x:row r="15">
      <x:c r="A15" t="str">
        <x:v>Edmonton</x:v>
      </x:c>
      <x:c r="B15" t="str">
        <x:v>AB</x:v>
      </x:c>
      <x:c r="C15" t="str">
        <x:v>West</x:v>
      </x:c>
      <x:c r="D15" s="86" t="n">
        <x:v>53.5461</x:v>
      </x:c>
      <x:c r="E15" s="86" t="n">
        <x:v>-113.4938</x:v>
      </x:c>
      <x:c r="F15" s="83" t="n">
        <x:v>3700000</x:v>
      </x:c>
      <x:c r="G15" s="83" t="n">
        <x:v>4000000</x:v>
      </x:c>
      <x:c r="H15" s="20" t="n">
        <x:f>IFERROR(F15/G15,0)</x:f>
        <x:v>0.925</x:v>
      </x:c>
      <x:c r="I15" s="20" t="n">
        <x:v>0.947</x:v>
      </x:c>
      <x:c r="J15" t="n">
        <x:v>45</x:v>
      </x:c>
      <x:c r="K15" t="str">
        <x:f>IF(OR(H15&lt;0.92,I15&lt;0.93,J15&gt;=60),"ESCALATE",IF(OR(H15&lt;1,J15&gt;=45),"WATCH","ON TRACK"))</x:f>
        <x:v>WATCH</x:v>
      </x:c>
    </x:row>
    <x:row r="16">
      <x:c r="A16" s="81" t="str">
        <x:v>Vancouver</x:v>
      </x:c>
      <x:c r="B16" s="81" t="str">
        <x:v>BC</x:v>
      </x:c>
      <x:c r="C16" s="81" t="str">
        <x:v>West</x:v>
      </x:c>
      <x:c r="D16" s="85" t="n">
        <x:v>49.2827</x:v>
      </x:c>
      <x:c r="E16" s="85" t="n">
        <x:v>-123.1207</x:v>
      </x:c>
      <x:c r="F16" s="82" t="n">
        <x:v>5500000</x:v>
      </x:c>
      <x:c r="G16" s="82" t="n">
        <x:v>5200000</x:v>
      </x:c>
      <x:c r="H16" s="84" t="n">
        <x:f>IFERROR(F16/G16,0)</x:f>
        <x:v>1.0576923076923077</x:v>
      </x:c>
      <x:c r="I16" s="84" t="n">
        <x:v>0.962</x:v>
      </x:c>
      <x:c r="J16" s="81" t="n">
        <x:v>29</x:v>
      </x:c>
      <x:c r="K16" s="81" t="str">
        <x:f>IF(OR(H16&lt;0.92,I16&lt;0.93,J16&gt;=60),"ESCALATE",IF(OR(H16&lt;1,J16&gt;=45),"WATCH","ON TRACK"))</x:f>
        <x:v>ON TRACK</x:v>
      </x:c>
    </x:row>
    <x:row r="17">
      <x:c r="A17" t="str">
        <x:v>Victoria</x:v>
      </x:c>
      <x:c r="B17" t="str">
        <x:v>BC</x:v>
      </x:c>
      <x:c r="C17" t="str">
        <x:v>West</x:v>
      </x:c>
      <x:c r="D17" s="86" t="n">
        <x:v>48.4284</x:v>
      </x:c>
      <x:c r="E17" s="86" t="n">
        <x:v>-123.3656</x:v>
      </x:c>
      <x:c r="F17" s="83" t="n">
        <x:v>1600000</x:v>
      </x:c>
      <x:c r="G17" s="83" t="n">
        <x:v>1800000</x:v>
      </x:c>
      <x:c r="H17" s="20" t="n">
        <x:f>IFERROR(F17/G17,0)</x:f>
        <x:v>0.8888888888888888</x:v>
      </x:c>
      <x:c r="I17" s="20" t="n">
        <x:v>0.938</x:v>
      </x:c>
      <x:c r="J17" t="n">
        <x:v>55</x:v>
      </x:c>
      <x:c r="K17" t="str">
        <x:f>IF(OR(H17&lt;0.92,I17&lt;0.93,J17&gt;=60),"ESCALATE",IF(OR(H17&lt;1,J17&gt;=45),"WATCH","ON TRACK"))</x:f>
        <x:v>ESCALATE</x:v>
      </x:c>
    </x:row>
    <x:row r="20">
      <x:c r="A20" s="87" t="str">
        <x:v>REGIONAL PERFORMANCE</x:v>
      </x:c>
      <x:c r="B20" s="79"/>
      <x:c r="C20" s="79"/>
      <x:c r="D20" s="79"/>
      <x:c r="E20" s="79"/>
      <x:c r="F20" s="79"/>
    </x:row>
    <x:row r="22">
      <x:c r="A22" s="89" t="str">
        <x:v>Region</x:v>
      </x:c>
      <x:c r="B22" s="89" t="str">
        <x:v>Revenue</x:v>
      </x:c>
      <x:c r="C22" s="89" t="str">
        <x:v>Target</x:v>
      </x:c>
      <x:c r="D22" s="89" t="str">
        <x:v>Attainment</x:v>
      </x:c>
    </x:row>
    <x:row r="23">
      <x:c r="A23" t="str">
        <x:v>East</x:v>
      </x:c>
      <x:c r="B23" s="83" t="n">
        <x:f>SUMIF($C$6:$C$17,A23,$F$6:$F$17)</x:f>
        <x:v>9300000</x:v>
      </x:c>
      <x:c r="C23" s="83" t="n">
        <x:f>SUMIF($C$6:$C$17,A23,$G$6:$G$17)</x:f>
        <x:v>9500000</x:v>
      </x:c>
      <x:c r="D23" s="20" t="n">
        <x:f>IFERROR(B23/C23,0)</x:f>
        <x:v>0.9789473684210527</x:v>
      </x:c>
    </x:row>
    <x:row r="24">
      <x:c r="A24" t="str">
        <x:v>Central</x:v>
      </x:c>
      <x:c r="B24" s="83" t="n">
        <x:f>SUMIF($C$6:$C$17,A24,$F$6:$F$17)</x:f>
        <x:v>14800000</x:v>
      </x:c>
      <x:c r="C24" s="83" t="n">
        <x:f>SUMIF($C$6:$C$17,A24,$G$6:$G$17)</x:f>
        <x:v>14700000</x:v>
      </x:c>
      <x:c r="D24" s="20" t="n">
        <x:f>IFERROR(B24/C24,0)</x:f>
        <x:v>1.0068027210884354</x:v>
      </x:c>
    </x:row>
    <x:row r="25">
      <x:c r="A25" t="str">
        <x:v>Prairies</x:v>
      </x:c>
      <x:c r="B25" s="83" t="n">
        <x:f>SUMIF($C$6:$C$17,A25,$F$6:$F$17)</x:f>
        <x:v>4100000</x:v>
      </x:c>
      <x:c r="C25" s="83" t="n">
        <x:f>SUMIF($C$6:$C$17,A25,$G$6:$G$17)</x:f>
        <x:v>4100000</x:v>
      </x:c>
      <x:c r="D25" s="20" t="n">
        <x:f>IFERROR(B25/C25,0)</x:f>
        <x:v>1</x:v>
      </x:c>
    </x:row>
    <x:row r="26">
      <x:c r="A26" t="str">
        <x:v>West</x:v>
      </x:c>
      <x:c r="B26" s="83" t="n">
        <x:f>SUMIF($C$6:$C$17,A26,$F$6:$F$17)</x:f>
        <x:v>15900000</x:v>
      </x:c>
      <x:c r="C26" s="83" t="n">
        <x:f>SUMIF($C$6:$C$17,A26,$G$6:$G$17)</x:f>
        <x:v>15800000</x:v>
      </x:c>
      <x:c r="D26" s="20" t="n">
        <x:f>IFERROR(B26/C26,0)</x:f>
        <x:v>1.0063291139240507</x:v>
      </x:c>
    </x:row>
    <x:row r="29">
      <x:c r="A29" t="str">
        <x:v>LOCATION VIEW / EXCEL MAP</x:v>
      </x:c>
    </x:row>
    <x:row r="30">
      <x:c r="A30" s="73" t="str">
        <x:v>Select A5:G17 and use Insert → Maps → Filled Map in desktop Excel to create a native geographic visualization.</x:v>
      </x:c>
      <x:c r="B30" s="73"/>
      <x:c r="C30" s="73"/>
      <x:c r="D30" s="73"/>
      <x:c r="E30" s="73"/>
      <x:c r="F30" s="73"/>
      <x:c r="G30" s="73"/>
      <x:c r="H30" s="73"/>
      <x:c r="I30" s="73"/>
      <x:c r="J30" s="73"/>
      <x:c r="K30" s="73"/>
    </x:row>
    <x:row r="31">
      <x:c r="A31" s="73" t="str">
        <x:v>Geographic coordinates are included for future Power BI or Excel 3D Maps integration. All data is fictional.</x:v>
      </x:c>
      <x:c r="B31" s="73"/>
      <x:c r="C31" s="73"/>
      <x:c r="D31" s="73"/>
      <x:c r="E31" s="73"/>
      <x:c r="F31" s="73"/>
      <x:c r="G31" s="73"/>
      <x:c r="H31" s="73"/>
      <x:c r="I31" s="73"/>
      <x:c r="J31" s="73"/>
      <x:c r="K31" s="73"/>
    </x:row>
  </x:sheetData>
  <x:conditionalFormatting sqref="J6:J17">
    <x:cfRule type="colorScale" priority="1">
      <x:colorScale>
        <x:cfvo type="min"/>
        <x:cfvo type="percentile" val="50"/>
        <x:cfvo type="max"/>
        <x:color rgb="FFDDF5EA"/>
        <x:color rgb="FFFFF2C5"/>
        <x:color rgb="FFFAD6D6"/>
      </x:colorScale>
    </x:cfRule>
  </x:conditionalFormatting>
  <x:conditionalFormatting sqref="H6:H17">
    <x:cfRule type="dataBar" priority="2">
      <x:dataBar>
        <x:cfvo type="min"/>
        <x:cfvo type="max"/>
        <x:color rgb="FF2B88A4"/>
      </x:dataBar>
      <x:extLst>
        <x:ext xmlns:x14="http://schemas.microsoft.com/office/spreadsheetml/2009/9/main" uri="{B025F937-C7B1-47D3-B67F-A62EFF666E3E}">
          <x14:id>{78299A2C-E295-3233-7FF7-A164185FD5B3}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bef56af1a584bcd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78299A2C-E295-3233-7FF7-A164185FD5B3}">
            <x14:dataBar gradient="1">
              <x14:cfvo type="min"/>
              <x14:cfvo type="max"/>
              <x14:fillColor rgb="FF2B88A4"/>
            </x14:dataBar>
          </x14:cfRule>
          <xm:sqref>H6:H17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93" t="str">
        <x:v>VECTRA  /  PLANT NETWORK INTELLIGENCE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</x:row>
    <x:row r="2">
      <x:c r="A2" s="94" t="str">
        <x:v>Geographic visualization • simulated locations • status and revenue scaled markers</x:v>
      </x:c>
      <x:c r="B2" s="94"/>
      <x:c r="C2" s="94"/>
      <x:c r="D2" s="94"/>
      <x:c r="E2" s="94"/>
      <x:c r="F2" s="94"/>
      <x:c r="G2" s="94"/>
      <x:c r="H2" s="94"/>
      <x:c r="I2" s="94"/>
      <x:c r="J2" s="94"/>
      <x:c r="K2" s="94"/>
      <x:c r="L2" s="94"/>
      <x:c r="M2" s="94"/>
      <x:c r="N2" s="94"/>
      <x:c r="O2" s="94"/>
      <x:c r="P2" s="94"/>
      <x:c r="Q2" s="94"/>
      <x:c r="R2" s="94"/>
      <x:c r="S2" s="94"/>
      <x:c r="T2" s="94"/>
      <x:c r="U2" s="94"/>
      <x:c r="V2" s="94"/>
    </x:row>
    <x:row r="40">
      <x:c r="A40" s="95" t="str">
        <x:v>SOURCE: GEO INTELLIGENCE  |  All plant locations and business values are fictional. Map is a snapshot; refresh after source changes.</x:v>
      </x:c>
    </x:row>
  </x:sheetData>
  <x:mergeCells>
    <x:mergeCell ref="A1:V1"/>
    <x:mergeCell ref="A2:V2"/>
    <x:mergeCell ref="A40:V40"/>
  </x:mergeCells>
  <x:pageMargins left="0.7" right="0.7" top="0.75" bottom="0.75" header="0.3" footer="0.3"/>
  <x:drawing xmlns:r="http://schemas.openxmlformats.org/officeDocument/2006/relationships" r:id="R2d88f6b32c1e4b98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6" customHeight="1">
      <x:c r="A1" s="97" t="str">
        <x:v>OPERATIONS | Plant performance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  <x:c r="L1" s="97"/>
      <x:c r="M1" s="97"/>
    </x:row>
    <x:row r="3" ht="26" customHeight="1">
      <x:c r="A3" s="99" t="str">
        <x:v>Plant ID</x:v>
      </x:c>
      <x:c r="B3" s="99" t="str">
        <x:v>Facility</x:v>
      </x:c>
      <x:c r="C3" s="99" t="str">
        <x:v>Province</x:v>
      </x:c>
      <x:c r="D3" s="99" t="str">
        <x:v>Month</x:v>
      </x:c>
      <x:c r="E3" s="99" t="str">
        <x:v>Capacity units</x:v>
      </x:c>
      <x:c r="F3" s="99" t="str">
        <x:v>Produced units</x:v>
      </x:c>
      <x:c r="G3" s="99" t="str">
        <x:v>Rejected units</x:v>
      </x:c>
      <x:c r="H3" s="99" t="str">
        <x:v>Downtime hrs</x:v>
      </x:c>
      <x:c r="I3" s="99" t="str">
        <x:v>Orders</x:v>
      </x:c>
      <x:c r="J3" s="99" t="str">
        <x:v>Late orders</x:v>
      </x:c>
      <x:c r="K3" s="99" t="str">
        <x:v>Yield %</x:v>
      </x:c>
      <x:c r="L3" s="99" t="str">
        <x:v>OTD %</x:v>
      </x:c>
      <x:c r="M3" s="99" t="str">
        <x:v>Utilization %</x:v>
      </x:c>
    </x:row>
    <x:row r="4">
      <x:c r="A4" t="str">
        <x:v>PLT-01</x:v>
      </x:c>
      <x:c r="B4" t="str">
        <x:v>Montréal</x:v>
      </x:c>
      <x:c r="C4" t="str">
        <x:v>QC</x:v>
      </x:c>
      <x:c r="D4" t="n">
        <x:v>46023</x:v>
      </x:c>
      <x:c r="E4" t="n">
        <x:v>3660</x:v>
      </x:c>
      <x:c r="F4" t="n">
        <x:v>3024</x:v>
      </x:c>
      <x:c r="G4" t="n">
        <x:v>174</x:v>
      </x:c>
      <x:c r="H4" t="n">
        <x:v>50</x:v>
      </x:c>
      <x:c r="I4" t="n">
        <x:v>163</x:v>
      </x:c>
      <x:c r="J4" t="n">
        <x:v>21</x:v>
      </x:c>
      <x:c r="K4" s="20" t="n">
        <x:f>IFERROR((F4-G4)/F4,0)</x:f>
        <x:v>0.9424603174603174</x:v>
      </x:c>
      <x:c r="L4" s="20" t="n">
        <x:f>IFERROR((I4-J4)/I4,0)</x:f>
        <x:v>0.8711656441717791</x:v>
      </x:c>
      <x:c r="M4" s="20" t="n">
        <x:f>IFERROR(F4/E4,0)</x:f>
        <x:v>0.8262295081967214</x:v>
      </x:c>
    </x:row>
    <x:row r="5">
      <x:c r="A5" t="str">
        <x:v>PLT-01</x:v>
      </x:c>
      <x:c r="B5" t="str">
        <x:v>Montréal</x:v>
      </x:c>
      <x:c r="C5" t="str">
        <x:v>QC</x:v>
      </x:c>
      <x:c r="D5" t="n">
        <x:v>46054</x:v>
      </x:c>
      <x:c r="E5" t="n">
        <x:v>2606</x:v>
      </x:c>
      <x:c r="F5" t="n">
        <x:v>1976</x:v>
      </x:c>
      <x:c r="G5" t="n">
        <x:v>31</x:v>
      </x:c>
      <x:c r="H5" t="n">
        <x:v>49.9</x:v>
      </x:c>
      <x:c r="I5" t="n">
        <x:v>110</x:v>
      </x:c>
      <x:c r="J5" t="n">
        <x:v>3</x:v>
      </x:c>
      <x:c r="K5" s="20" t="n">
        <x:f>IFERROR((F5-G5)/F5,0)</x:f>
        <x:v>0.9843117408906883</x:v>
      </x:c>
      <x:c r="L5" s="20" t="n">
        <x:f>IFERROR((I5-J5)/I5,0)</x:f>
        <x:v>0.9727272727272728</x:v>
      </x:c>
      <x:c r="M5" s="20" t="n">
        <x:f>IFERROR(F5/E5,0)</x:f>
        <x:v>0.758250191864927</x:v>
      </x:c>
    </x:row>
    <x:row r="6">
      <x:c r="A6" t="str">
        <x:v>PLT-01</x:v>
      </x:c>
      <x:c r="B6" t="str">
        <x:v>Montréal</x:v>
      </x:c>
      <x:c r="C6" t="str">
        <x:v>QC</x:v>
      </x:c>
      <x:c r="D6" t="n">
        <x:v>46082</x:v>
      </x:c>
      <x:c r="E6" t="n">
        <x:v>3418</x:v>
      </x:c>
      <x:c r="F6" t="n">
        <x:v>2669</x:v>
      </x:c>
      <x:c r="G6" t="n">
        <x:v>129</x:v>
      </x:c>
      <x:c r="H6" t="n">
        <x:v>40.5</x:v>
      </x:c>
      <x:c r="I6" t="n">
        <x:v>92</x:v>
      </x:c>
      <x:c r="J6" t="n">
        <x:v>19</x:v>
      </x:c>
      <x:c r="K6" s="20" t="n">
        <x:f>IFERROR((F6-G6)/F6,0)</x:f>
        <x:v>0.9516672911202697</x:v>
      </x:c>
      <x:c r="L6" s="20" t="n">
        <x:f>IFERROR((I6-J6)/I6,0)</x:f>
        <x:v>0.7934782608695652</x:v>
      </x:c>
      <x:c r="M6" s="20" t="n">
        <x:f>IFERROR(F6/E6,0)</x:f>
        <x:v>0.780866003510825</x:v>
      </x:c>
    </x:row>
    <x:row r="7">
      <x:c r="A7" t="str">
        <x:v>PLT-01</x:v>
      </x:c>
      <x:c r="B7" t="str">
        <x:v>Montréal</x:v>
      </x:c>
      <x:c r="C7" t="str">
        <x:v>QC</x:v>
      </x:c>
      <x:c r="D7" t="n">
        <x:v>46113</x:v>
      </x:c>
      <x:c r="E7" t="n">
        <x:v>4650</x:v>
      </x:c>
      <x:c r="F7" t="n">
        <x:v>3906</x:v>
      </x:c>
      <x:c r="G7" t="n">
        <x:v>204</x:v>
      </x:c>
      <x:c r="H7" t="n">
        <x:v>42.3</x:v>
      </x:c>
      <x:c r="I7" t="n">
        <x:v>85</x:v>
      </x:c>
      <x:c r="J7" t="n">
        <x:v>5</x:v>
      </x:c>
      <x:c r="K7" s="20" t="n">
        <x:f>IFERROR((F7-G7)/F7,0)</x:f>
        <x:v>0.9477726574500768</x:v>
      </x:c>
      <x:c r="L7" s="20" t="n">
        <x:f>IFERROR((I7-J7)/I7,0)</x:f>
        <x:v>0.9411764705882353</x:v>
      </x:c>
      <x:c r="M7" s="20" t="n">
        <x:f>IFERROR(F7/E7,0)</x:f>
        <x:v>0.84</x:v>
      </x:c>
    </x:row>
    <x:row r="8">
      <x:c r="A8" t="str">
        <x:v>PLT-02</x:v>
      </x:c>
      <x:c r="B8" t="str">
        <x:v>Québec City</x:v>
      </x:c>
      <x:c r="C8" t="str">
        <x:v>QC</x:v>
      </x:c>
      <x:c r="D8" t="n">
        <x:v>46023</x:v>
      </x:c>
      <x:c r="E8" t="n">
        <x:v>4714</x:v>
      </x:c>
      <x:c r="F8" t="n">
        <x:v>3650</x:v>
      </x:c>
      <x:c r="G8" t="n">
        <x:v>125</x:v>
      </x:c>
      <x:c r="H8" t="n">
        <x:v>50.9</x:v>
      </x:c>
      <x:c r="I8" t="n">
        <x:v>170</x:v>
      </x:c>
      <x:c r="J8" t="n">
        <x:v>26</x:v>
      </x:c>
      <x:c r="K8" s="20" t="n">
        <x:f>IFERROR((F8-G8)/F8,0)</x:f>
        <x:v>0.9657534246575342</x:v>
      </x:c>
      <x:c r="L8" s="20" t="n">
        <x:f>IFERROR((I8-J8)/I8,0)</x:f>
        <x:v>0.8470588235294118</x:v>
      </x:c>
      <x:c r="M8" s="20" t="n">
        <x:f>IFERROR(F8/E8,0)</x:f>
        <x:v>0.7742893508697497</x:v>
      </x:c>
    </x:row>
    <x:row r="9">
      <x:c r="A9" t="str">
        <x:v>PLT-02</x:v>
      </x:c>
      <x:c r="B9" t="str">
        <x:v>Québec City</x:v>
      </x:c>
      <x:c r="C9" t="str">
        <x:v>QC</x:v>
      </x:c>
      <x:c r="D9" t="n">
        <x:v>46054</x:v>
      </x:c>
      <x:c r="E9" t="n">
        <x:v>2847</x:v>
      </x:c>
      <x:c r="F9" t="n">
        <x:v>2824</x:v>
      </x:c>
      <x:c r="G9" t="n">
        <x:v>65</x:v>
      </x:c>
      <x:c r="H9" t="n">
        <x:v>16.6</x:v>
      </x:c>
      <x:c r="I9" t="n">
        <x:v>185</x:v>
      </x:c>
      <x:c r="J9" t="n">
        <x:v>36</x:v>
      </x:c>
      <x:c r="K9" s="20" t="n">
        <x:f>IFERROR((F9-G9)/F9,0)</x:f>
        <x:v>0.9769830028328612</x:v>
      </x:c>
      <x:c r="L9" s="20" t="n">
        <x:f>IFERROR((I9-J9)/I9,0)</x:f>
        <x:v>0.8054054054054054</x:v>
      </x:c>
      <x:c r="M9" s="20" t="n">
        <x:f>IFERROR(F9/E9,0)</x:f>
        <x:v>0.991921320688444</x:v>
      </x:c>
    </x:row>
    <x:row r="10">
      <x:c r="A10" t="str">
        <x:v>PLT-02</x:v>
      </x:c>
      <x:c r="B10" t="str">
        <x:v>Québec City</x:v>
      </x:c>
      <x:c r="C10" t="str">
        <x:v>QC</x:v>
      </x:c>
      <x:c r="D10" t="n">
        <x:v>46082</x:v>
      </x:c>
      <x:c r="E10" t="n">
        <x:v>4381</x:v>
      </x:c>
      <x:c r="F10" t="n">
        <x:v>4171</x:v>
      </x:c>
      <x:c r="G10" t="n">
        <x:v>186</x:v>
      </x:c>
      <x:c r="H10" t="n">
        <x:v>23.7</x:v>
      </x:c>
      <x:c r="I10" t="n">
        <x:v>112</x:v>
      </x:c>
      <x:c r="J10" t="n">
        <x:v>3</x:v>
      </x:c>
      <x:c r="K10" s="20" t="n">
        <x:f>IFERROR((F10-G10)/F10,0)</x:f>
        <x:v>0.9554063773675378</x:v>
      </x:c>
      <x:c r="L10" s="20" t="n">
        <x:f>IFERROR((I10-J10)/I10,0)</x:f>
        <x:v>0.9732142857142857</x:v>
      </x:c>
      <x:c r="M10" s="20" t="n">
        <x:f>IFERROR(F10/E10,0)</x:f>
        <x:v>0.9520657384158868</x:v>
      </x:c>
    </x:row>
    <x:row r="11">
      <x:c r="A11" t="str">
        <x:v>PLT-02</x:v>
      </x:c>
      <x:c r="B11" t="str">
        <x:v>Québec City</x:v>
      </x:c>
      <x:c r="C11" t="str">
        <x:v>QC</x:v>
      </x:c>
      <x:c r="D11" t="n">
        <x:v>46113</x:v>
      </x:c>
      <x:c r="E11" t="n">
        <x:v>2448</x:v>
      </x:c>
      <x:c r="F11" t="n">
        <x:v>1838</x:v>
      </x:c>
      <x:c r="G11" t="n">
        <x:v>51</x:v>
      </x:c>
      <x:c r="H11" t="n">
        <x:v>12.2</x:v>
      </x:c>
      <x:c r="I11" t="n">
        <x:v>182</x:v>
      </x:c>
      <x:c r="J11" t="n">
        <x:v>9</x:v>
      </x:c>
      <x:c r="K11" s="20" t="n">
        <x:f>IFERROR((F11-G11)/F11,0)</x:f>
        <x:v>0.9722524483133841</x:v>
      </x:c>
      <x:c r="L11" s="20" t="n">
        <x:f>IFERROR((I11-J11)/I11,0)</x:f>
        <x:v>0.9505494505494505</x:v>
      </x:c>
      <x:c r="M11" s="20" t="n">
        <x:f>IFERROR(F11/E11,0)</x:f>
        <x:v>0.7508169934640523</x:v>
      </x:c>
    </x:row>
    <x:row r="12">
      <x:c r="A12" t="str">
        <x:v>PLT-03</x:v>
      </x:c>
      <x:c r="B12" t="str">
        <x:v>Toronto</x:v>
      </x:c>
      <x:c r="C12" t="str">
        <x:v>ON</x:v>
      </x:c>
      <x:c r="D12" t="n">
        <x:v>46023</x:v>
      </x:c>
      <x:c r="E12" t="n">
        <x:v>4445</x:v>
      </x:c>
      <x:c r="F12" t="n">
        <x:v>4136</x:v>
      </x:c>
      <x:c r="G12" t="n">
        <x:v>220</x:v>
      </x:c>
      <x:c r="H12" t="n">
        <x:v>16.5</x:v>
      </x:c>
      <x:c r="I12" t="n">
        <x:v>71</x:v>
      </x:c>
      <x:c r="J12" t="n">
        <x:v>11</x:v>
      </x:c>
      <x:c r="K12" s="20" t="n">
        <x:f>IFERROR((F12-G12)/F12,0)</x:f>
        <x:v>0.9468085106382979</x:v>
      </x:c>
      <x:c r="L12" s="20" t="n">
        <x:f>IFERROR((I12-J12)/I12,0)</x:f>
        <x:v>0.8450704225352113</x:v>
      </x:c>
      <x:c r="M12" s="20" t="n">
        <x:f>IFERROR(F12/E12,0)</x:f>
        <x:v>0.9304836895388077</x:v>
      </x:c>
    </x:row>
    <x:row r="13">
      <x:c r="A13" t="str">
        <x:v>PLT-03</x:v>
      </x:c>
      <x:c r="B13" t="str">
        <x:v>Toronto</x:v>
      </x:c>
      <x:c r="C13" t="str">
        <x:v>ON</x:v>
      </x:c>
      <x:c r="D13" t="n">
        <x:v>46054</x:v>
      </x:c>
      <x:c r="E13" t="n">
        <x:v>4602</x:v>
      </x:c>
      <x:c r="F13" t="n">
        <x:v>3852</x:v>
      </x:c>
      <x:c r="G13" t="n">
        <x:v>67</x:v>
      </x:c>
      <x:c r="H13" t="n">
        <x:v>25.5</x:v>
      </x:c>
      <x:c r="I13" t="n">
        <x:v>87</x:v>
      </x:c>
      <x:c r="J13" t="n">
        <x:v>10</x:v>
      </x:c>
      <x:c r="K13" s="20" t="n">
        <x:f>IFERROR((F13-G13)/F13,0)</x:f>
        <x:v>0.9826064382139148</x:v>
      </x:c>
      <x:c r="L13" s="20" t="n">
        <x:f>IFERROR((I13-J13)/I13,0)</x:f>
        <x:v>0.8850574712643678</x:v>
      </x:c>
      <x:c r="M13" s="20" t="n">
        <x:f>IFERROR(F13/E13,0)</x:f>
        <x:v>0.8370273794002607</x:v>
      </x:c>
    </x:row>
    <x:row r="14">
      <x:c r="A14" t="str">
        <x:v>PLT-03</x:v>
      </x:c>
      <x:c r="B14" t="str">
        <x:v>Toronto</x:v>
      </x:c>
      <x:c r="C14" t="str">
        <x:v>ON</x:v>
      </x:c>
      <x:c r="D14" t="n">
        <x:v>46082</x:v>
      </x:c>
      <x:c r="E14" t="n">
        <x:v>4027</x:v>
      </x:c>
      <x:c r="F14" t="n">
        <x:v>3172</x:v>
      </x:c>
      <x:c r="G14" t="n">
        <x:v>143</x:v>
      </x:c>
      <x:c r="H14" t="n">
        <x:v>33.9</x:v>
      </x:c>
      <x:c r="I14" t="n">
        <x:v>87</x:v>
      </x:c>
      <x:c r="J14" t="n">
        <x:v>16</x:v>
      </x:c>
      <x:c r="K14" s="20" t="n">
        <x:f>IFERROR((F14-G14)/F14,0)</x:f>
        <x:v>0.9549180327868853</x:v>
      </x:c>
      <x:c r="L14" s="20" t="n">
        <x:f>IFERROR((I14-J14)/I14,0)</x:f>
        <x:v>0.8160919540229885</x:v>
      </x:c>
      <x:c r="M14" s="20" t="n">
        <x:f>IFERROR(F14/E14,0)</x:f>
        <x:v>0.7876831388130122</x:v>
      </x:c>
    </x:row>
    <x:row r="15">
      <x:c r="A15" t="str">
        <x:v>PLT-03</x:v>
      </x:c>
      <x:c r="B15" t="str">
        <x:v>Toronto</x:v>
      </x:c>
      <x:c r="C15" t="str">
        <x:v>ON</x:v>
      </x:c>
      <x:c r="D15" t="n">
        <x:v>46113</x:v>
      </x:c>
      <x:c r="E15" t="n">
        <x:v>4123</x:v>
      </x:c>
      <x:c r="F15" t="n">
        <x:v>3106</x:v>
      </x:c>
      <x:c r="G15" t="n">
        <x:v>39</x:v>
      </x:c>
      <x:c r="H15" t="n">
        <x:v>39.9</x:v>
      </x:c>
      <x:c r="I15" t="n">
        <x:v>93</x:v>
      </x:c>
      <x:c r="J15" t="n">
        <x:v>15</x:v>
      </x:c>
      <x:c r="K15" s="20" t="n">
        <x:f>IFERROR((F15-G15)/F15,0)</x:f>
        <x:v>0.9874436574372183</x:v>
      </x:c>
      <x:c r="L15" s="20" t="n">
        <x:f>IFERROR((I15-J15)/I15,0)</x:f>
        <x:v>0.8387096774193549</x:v>
      </x:c>
      <x:c r="M15" s="20" t="n">
        <x:f>IFERROR(F15/E15,0)</x:f>
        <x:v>0.7533349502789232</x:v>
      </x:c>
    </x:row>
    <x:row r="16">
      <x:c r="A16" t="str">
        <x:v>PLT-04</x:v>
      </x:c>
      <x:c r="B16" t="str">
        <x:v>Ottawa</x:v>
      </x:c>
      <x:c r="C16" t="str">
        <x:v>ON</x:v>
      </x:c>
      <x:c r="D16" t="n">
        <x:v>46023</x:v>
      </x:c>
      <x:c r="E16" t="n">
        <x:v>3682</x:v>
      </x:c>
      <x:c r="F16" t="n">
        <x:v>3354</x:v>
      </x:c>
      <x:c r="G16" t="n">
        <x:v>80</x:v>
      </x:c>
      <x:c r="H16" t="n">
        <x:v>51.9</x:v>
      </x:c>
      <x:c r="I16" t="n">
        <x:v>70</x:v>
      </x:c>
      <x:c r="J16" t="n">
        <x:v>7</x:v>
      </x:c>
      <x:c r="K16" s="20" t="n">
        <x:f>IFERROR((F16-G16)/F16,0)</x:f>
        <x:v>0.9761478831246273</x:v>
      </x:c>
      <x:c r="L16" s="20" t="n">
        <x:f>IFERROR((I16-J16)/I16,0)</x:f>
        <x:v>0.9</x:v>
      </x:c>
      <x:c r="M16" s="20" t="n">
        <x:f>IFERROR(F16/E16,0)</x:f>
        <x:v>0.910917979359044</x:v>
      </x:c>
    </x:row>
    <x:row r="17">
      <x:c r="A17" t="str">
        <x:v>PLT-04</x:v>
      </x:c>
      <x:c r="B17" t="str">
        <x:v>Ottawa</x:v>
      </x:c>
      <x:c r="C17" t="str">
        <x:v>ON</x:v>
      </x:c>
      <x:c r="D17" t="n">
        <x:v>46054</x:v>
      </x:c>
      <x:c r="E17" t="n">
        <x:v>4610</x:v>
      </x:c>
      <x:c r="F17" t="n">
        <x:v>3938</x:v>
      </x:c>
      <x:c r="G17" t="n">
        <x:v>113</x:v>
      </x:c>
      <x:c r="H17" t="n">
        <x:v>10.7</x:v>
      </x:c>
      <x:c r="I17" t="n">
        <x:v>89</x:v>
      </x:c>
      <x:c r="J17" t="n">
        <x:v>2</x:v>
      </x:c>
      <x:c r="K17" s="20" t="n">
        <x:f>IFERROR((F17-G17)/F17,0)</x:f>
        <x:v>0.9713052310817674</x:v>
      </x:c>
      <x:c r="L17" s="20" t="n">
        <x:f>IFERROR((I17-J17)/I17,0)</x:f>
        <x:v>0.9775280898876404</x:v>
      </x:c>
      <x:c r="M17" s="20" t="n">
        <x:f>IFERROR(F17/E17,0)</x:f>
        <x:v>0.8542299349240781</x:v>
      </x:c>
    </x:row>
    <x:row r="18">
      <x:c r="A18" t="str">
        <x:v>PLT-04</x:v>
      </x:c>
      <x:c r="B18" t="str">
        <x:v>Ottawa</x:v>
      </x:c>
      <x:c r="C18" t="str">
        <x:v>ON</x:v>
      </x:c>
      <x:c r="D18" t="n">
        <x:v>46082</x:v>
      </x:c>
      <x:c r="E18" t="n">
        <x:v>3824</x:v>
      </x:c>
      <x:c r="F18" t="n">
        <x:v>3100</x:v>
      </x:c>
      <x:c r="G18" t="n">
        <x:v>53</x:v>
      </x:c>
      <x:c r="H18" t="n">
        <x:v>31.3</x:v>
      </x:c>
      <x:c r="I18" t="n">
        <x:v>100</x:v>
      </x:c>
      <x:c r="J18" t="n">
        <x:v>10</x:v>
      </x:c>
      <x:c r="K18" s="20" t="n">
        <x:f>IFERROR((F18-G18)/F18,0)</x:f>
        <x:v>0.9829032258064516</x:v>
      </x:c>
      <x:c r="L18" s="20" t="n">
        <x:f>IFERROR((I18-J18)/I18,0)</x:f>
        <x:v>0.9</x:v>
      </x:c>
      <x:c r="M18" s="20" t="n">
        <x:f>IFERROR(F18/E18,0)</x:f>
        <x:v>0.8106694560669456</x:v>
      </x:c>
    </x:row>
    <x:row r="19">
      <x:c r="A19" t="str">
        <x:v>PLT-04</x:v>
      </x:c>
      <x:c r="B19" t="str">
        <x:v>Ottawa</x:v>
      </x:c>
      <x:c r="C19" t="str">
        <x:v>ON</x:v>
      </x:c>
      <x:c r="D19" t="n">
        <x:v>46113</x:v>
      </x:c>
      <x:c r="E19" t="n">
        <x:v>2162</x:v>
      </x:c>
      <x:c r="F19" t="n">
        <x:v>2086</x:v>
      </x:c>
      <x:c r="G19" t="n">
        <x:v>90</x:v>
      </x:c>
      <x:c r="H19" t="n">
        <x:v>27.4</x:v>
      </x:c>
      <x:c r="I19" t="n">
        <x:v>66</x:v>
      </x:c>
      <x:c r="J19" t="n">
        <x:v>7</x:v>
      </x:c>
      <x:c r="K19" s="20" t="n">
        <x:f>IFERROR((F19-G19)/F19,0)</x:f>
        <x:v>0.9568552253116012</x:v>
      </x:c>
      <x:c r="L19" s="20" t="n">
        <x:f>IFERROR((I19-J19)/I19,0)</x:f>
        <x:v>0.8939393939393939</x:v>
      </x:c>
      <x:c r="M19" s="20" t="n">
        <x:f>IFERROR(F19/E19,0)</x:f>
        <x:v>0.9648473635522664</x:v>
      </x:c>
    </x:row>
    <x:row r="20">
      <x:c r="A20" t="str">
        <x:v>PLT-05</x:v>
      </x:c>
      <x:c r="B20" t="str">
        <x:v>Hamilton</x:v>
      </x:c>
      <x:c r="C20" t="str">
        <x:v>ON</x:v>
      </x:c>
      <x:c r="D20" t="n">
        <x:v>46023</x:v>
      </x:c>
      <x:c r="E20" t="n">
        <x:v>2593</x:v>
      </x:c>
      <x:c r="F20" t="n">
        <x:v>2195</x:v>
      </x:c>
      <x:c r="G20" t="n">
        <x:v>28</x:v>
      </x:c>
      <x:c r="H20" t="n">
        <x:v>52.6</x:v>
      </x:c>
      <x:c r="I20" t="n">
        <x:v>131</x:v>
      </x:c>
      <x:c r="J20" t="n">
        <x:v>3</x:v>
      </x:c>
      <x:c r="K20" s="20" t="n">
        <x:f>IFERROR((F20-G20)/F20,0)</x:f>
        <x:v>0.987243735763098</x:v>
      </x:c>
      <x:c r="L20" s="20" t="n">
        <x:f>IFERROR((I20-J20)/I20,0)</x:f>
        <x:v>0.9770992366412213</x:v>
      </x:c>
      <x:c r="M20" s="20" t="n">
        <x:f>IFERROR(F20/E20,0)</x:f>
        <x:v>0.8465098341689163</x:v>
      </x:c>
    </x:row>
    <x:row r="21">
      <x:c r="A21" t="str">
        <x:v>PLT-05</x:v>
      </x:c>
      <x:c r="B21" t="str">
        <x:v>Hamilton</x:v>
      </x:c>
      <x:c r="C21" t="str">
        <x:v>ON</x:v>
      </x:c>
      <x:c r="D21" t="n">
        <x:v>46054</x:v>
      </x:c>
      <x:c r="E21" t="n">
        <x:v>3162</x:v>
      </x:c>
      <x:c r="F21" t="n">
        <x:v>3003</x:v>
      </x:c>
      <x:c r="G21" t="n">
        <x:v>54</x:v>
      </x:c>
      <x:c r="H21" t="n">
        <x:v>26.8</x:v>
      </x:c>
      <x:c r="I21" t="n">
        <x:v>107</x:v>
      </x:c>
      <x:c r="J21" t="n">
        <x:v>12</x:v>
      </x:c>
      <x:c r="K21" s="20" t="n">
        <x:f>IFERROR((F21-G21)/F21,0)</x:f>
        <x:v>0.9820179820179821</x:v>
      </x:c>
      <x:c r="L21" s="20" t="n">
        <x:f>IFERROR((I21-J21)/I21,0)</x:f>
        <x:v>0.8878504672897196</x:v>
      </x:c>
      <x:c r="M21" s="20" t="n">
        <x:f>IFERROR(F21/E21,0)</x:f>
        <x:v>0.9497153700189753</x:v>
      </x:c>
    </x:row>
    <x:row r="22">
      <x:c r="A22" t="str">
        <x:v>PLT-05</x:v>
      </x:c>
      <x:c r="B22" t="str">
        <x:v>Hamilton</x:v>
      </x:c>
      <x:c r="C22" t="str">
        <x:v>ON</x:v>
      </x:c>
      <x:c r="D22" t="n">
        <x:v>46082</x:v>
      </x:c>
      <x:c r="E22" t="n">
        <x:v>2139</x:v>
      </x:c>
      <x:c r="F22" t="n">
        <x:v>2120</x:v>
      </x:c>
      <x:c r="G22" t="n">
        <x:v>79</x:v>
      </x:c>
      <x:c r="H22" t="n">
        <x:v>31.6</x:v>
      </x:c>
      <x:c r="I22" t="n">
        <x:v>69</x:v>
      </x:c>
      <x:c r="J22" t="n">
        <x:v>14</x:v>
      </x:c>
      <x:c r="K22" s="20" t="n">
        <x:f>IFERROR((F22-G22)/F22,0)</x:f>
        <x:v>0.9627358490566038</x:v>
      </x:c>
      <x:c r="L22" s="20" t="n">
        <x:f>IFERROR((I22-J22)/I22,0)</x:f>
        <x:v>0.7971014492753623</x:v>
      </x:c>
      <x:c r="M22" s="20" t="n">
        <x:f>IFERROR(F22/E22,0)</x:f>
        <x:v>0.9911173445535297</x:v>
      </x:c>
    </x:row>
    <x:row r="23">
      <x:c r="A23" t="str">
        <x:v>PLT-05</x:v>
      </x:c>
      <x:c r="B23" t="str">
        <x:v>Hamilton</x:v>
      </x:c>
      <x:c r="C23" t="str">
        <x:v>ON</x:v>
      </x:c>
      <x:c r="D23" t="n">
        <x:v>46113</x:v>
      </x:c>
      <x:c r="E23" t="n">
        <x:v>4109</x:v>
      </x:c>
      <x:c r="F23" t="n">
        <x:v>3620</x:v>
      </x:c>
      <x:c r="G23" t="n">
        <x:v>161</x:v>
      </x:c>
      <x:c r="H23" t="n">
        <x:v>4.9</x:v>
      </x:c>
      <x:c r="I23" t="n">
        <x:v>161</x:v>
      </x:c>
      <x:c r="J23" t="n">
        <x:v>25</x:v>
      </x:c>
      <x:c r="K23" s="20" t="n">
        <x:f>IFERROR((F23-G23)/F23,0)</x:f>
        <x:v>0.9555248618784531</x:v>
      </x:c>
      <x:c r="L23" s="20" t="n">
        <x:f>IFERROR((I23-J23)/I23,0)</x:f>
        <x:v>0.84472049689441</x:v>
      </x:c>
      <x:c r="M23" s="20" t="n">
        <x:f>IFERROR(F23/E23,0)</x:f>
        <x:v>0.8809929423217328</x:v>
      </x:c>
    </x:row>
    <x:row r="24">
      <x:c r="A24" t="str">
        <x:v>PLT-06</x:v>
      </x:c>
      <x:c r="B24" t="str">
        <x:v>London</x:v>
      </x:c>
      <x:c r="C24" t="str">
        <x:v>ON</x:v>
      </x:c>
      <x:c r="D24" t="n">
        <x:v>46023</x:v>
      </x:c>
      <x:c r="E24" t="n">
        <x:v>3248</x:v>
      </x:c>
      <x:c r="F24" t="n">
        <x:v>2585</x:v>
      </x:c>
      <x:c r="G24" t="n">
        <x:v>138</x:v>
      </x:c>
      <x:c r="H24" t="n">
        <x:v>25.4</x:v>
      </x:c>
      <x:c r="I24" t="n">
        <x:v>154</x:v>
      </x:c>
      <x:c r="J24" t="n">
        <x:v>17</x:v>
      </x:c>
      <x:c r="K24" s="20" t="n">
        <x:f>IFERROR((F24-G24)/F24,0)</x:f>
        <x:v>0.9466150870406189</x:v>
      </x:c>
      <x:c r="L24" s="20" t="n">
        <x:f>IFERROR((I24-J24)/I24,0)</x:f>
        <x:v>0.8896103896103896</x:v>
      </x:c>
      <x:c r="M24" s="20" t="n">
        <x:f>IFERROR(F24/E24,0)</x:f>
        <x:v>0.7958743842364532</x:v>
      </x:c>
    </x:row>
    <x:row r="25">
      <x:c r="A25" t="str">
        <x:v>PLT-06</x:v>
      </x:c>
      <x:c r="B25" t="str">
        <x:v>London</x:v>
      </x:c>
      <x:c r="C25" t="str">
        <x:v>ON</x:v>
      </x:c>
      <x:c r="D25" t="n">
        <x:v>46054</x:v>
      </x:c>
      <x:c r="E25" t="n">
        <x:v>3230</x:v>
      </x:c>
      <x:c r="F25" t="n">
        <x:v>2881</x:v>
      </x:c>
      <x:c r="G25" t="n">
        <x:v>163</x:v>
      </x:c>
      <x:c r="H25" t="n">
        <x:v>44.8</x:v>
      </x:c>
      <x:c r="I25" t="n">
        <x:v>185</x:v>
      </x:c>
      <x:c r="J25" t="n">
        <x:v>33</x:v>
      </x:c>
      <x:c r="K25" s="20" t="n">
        <x:f>IFERROR((F25-G25)/F25,0)</x:f>
        <x:v>0.9434224227698715</x:v>
      </x:c>
      <x:c r="L25" s="20" t="n">
        <x:f>IFERROR((I25-J25)/I25,0)</x:f>
        <x:v>0.8216216216216217</x:v>
      </x:c>
      <x:c r="M25" s="20" t="n">
        <x:f>IFERROR(F25/E25,0)</x:f>
        <x:v>0.8919504643962848</x:v>
      </x:c>
    </x:row>
    <x:row r="26">
      <x:c r="A26" t="str">
        <x:v>PLT-06</x:v>
      </x:c>
      <x:c r="B26" t="str">
        <x:v>London</x:v>
      </x:c>
      <x:c r="C26" t="str">
        <x:v>ON</x:v>
      </x:c>
      <x:c r="D26" t="n">
        <x:v>46082</x:v>
      </x:c>
      <x:c r="E26" t="n">
        <x:v>2418</x:v>
      </x:c>
      <x:c r="F26" t="n">
        <x:v>1872</x:v>
      </x:c>
      <x:c r="G26" t="n">
        <x:v>90</x:v>
      </x:c>
      <x:c r="H26" t="n">
        <x:v>12.9</x:v>
      </x:c>
      <x:c r="I26" t="n">
        <x:v>216</x:v>
      </x:c>
      <x:c r="J26" t="n">
        <x:v>37</x:v>
      </x:c>
      <x:c r="K26" s="20" t="n">
        <x:f>IFERROR((F26-G26)/F26,0)</x:f>
        <x:v>0.9519230769230769</x:v>
      </x:c>
      <x:c r="L26" s="20" t="n">
        <x:f>IFERROR((I26-J26)/I26,0)</x:f>
        <x:v>0.8287037037037037</x:v>
      </x:c>
      <x:c r="M26" s="20" t="n">
        <x:f>IFERROR(F26/E26,0)</x:f>
        <x:v>0.7741935483870968</x:v>
      </x:c>
    </x:row>
    <x:row r="27">
      <x:c r="A27" t="str">
        <x:v>PLT-06</x:v>
      </x:c>
      <x:c r="B27" t="str">
        <x:v>London</x:v>
      </x:c>
      <x:c r="C27" t="str">
        <x:v>ON</x:v>
      </x:c>
      <x:c r="D27" t="n">
        <x:v>46113</x:v>
      </x:c>
      <x:c r="E27" t="n">
        <x:v>3056</x:v>
      </x:c>
      <x:c r="F27" t="n">
        <x:v>2614</x:v>
      </x:c>
      <x:c r="G27" t="n">
        <x:v>76</x:v>
      </x:c>
      <x:c r="H27" t="n">
        <x:v>18.5</x:v>
      </x:c>
      <x:c r="I27" t="n">
        <x:v>68</x:v>
      </x:c>
      <x:c r="J27" t="n">
        <x:v>10</x:v>
      </x:c>
      <x:c r="K27" s="20" t="n">
        <x:f>IFERROR((F27-G27)/F27,0)</x:f>
        <x:v>0.9709257842387146</x:v>
      </x:c>
      <x:c r="L27" s="20" t="n">
        <x:f>IFERROR((I27-J27)/I27,0)</x:f>
        <x:v>0.8529411764705882</x:v>
      </x:c>
      <x:c r="M27" s="20" t="n">
        <x:f>IFERROR(F27/E27,0)</x:f>
        <x:v>0.8553664921465969</x:v>
      </x:c>
    </x:row>
    <x:row r="28">
      <x:c r="A28" t="str">
        <x:v>PLT-07</x:v>
      </x:c>
      <x:c r="B28" t="str">
        <x:v>Winnipeg</x:v>
      </x:c>
      <x:c r="C28" t="str">
        <x:v>MB</x:v>
      </x:c>
      <x:c r="D28" t="n">
        <x:v>46023</x:v>
      </x:c>
      <x:c r="E28" t="n">
        <x:v>4866</x:v>
      </x:c>
      <x:c r="F28" t="n">
        <x:v>3797</x:v>
      </x:c>
      <x:c r="G28" t="n">
        <x:v>63</x:v>
      </x:c>
      <x:c r="H28" t="n">
        <x:v>28.9</x:v>
      </x:c>
      <x:c r="I28" t="n">
        <x:v>96</x:v>
      </x:c>
      <x:c r="J28" t="n">
        <x:v>5</x:v>
      </x:c>
      <x:c r="K28" s="20" t="n">
        <x:f>IFERROR((F28-G28)/F28,0)</x:f>
        <x:v>0.9834079536476166</x:v>
      </x:c>
      <x:c r="L28" s="20" t="n">
        <x:f>IFERROR((I28-J28)/I28,0)</x:f>
        <x:v>0.9479166666666666</x:v>
      </x:c>
      <x:c r="M28" s="20" t="n">
        <x:f>IFERROR(F28/E28,0)</x:f>
        <x:v>0.7803123715577477</x:v>
      </x:c>
    </x:row>
    <x:row r="29">
      <x:c r="A29" t="str">
        <x:v>PLT-07</x:v>
      </x:c>
      <x:c r="B29" t="str">
        <x:v>Winnipeg</x:v>
      </x:c>
      <x:c r="C29" t="str">
        <x:v>MB</x:v>
      </x:c>
      <x:c r="D29" t="n">
        <x:v>46054</x:v>
      </x:c>
      <x:c r="E29" t="n">
        <x:v>2118</x:v>
      </x:c>
      <x:c r="F29" t="n">
        <x:v>1905</x:v>
      </x:c>
      <x:c r="G29" t="n">
        <x:v>104</x:v>
      </x:c>
      <x:c r="H29" t="n">
        <x:v>17.7</x:v>
      </x:c>
      <x:c r="I29" t="n">
        <x:v>138</x:v>
      </x:c>
      <x:c r="J29" t="n">
        <x:v>5</x:v>
      </x:c>
      <x:c r="K29" s="20" t="n">
        <x:f>IFERROR((F29-G29)/F29,0)</x:f>
        <x:v>0.9454068241469816</x:v>
      </x:c>
      <x:c r="L29" s="20" t="n">
        <x:f>IFERROR((I29-J29)/I29,0)</x:f>
        <x:v>0.9637681159420289</x:v>
      </x:c>
      <x:c r="M29" s="20" t="n">
        <x:f>IFERROR(F29/E29,0)</x:f>
        <x:v>0.8994334277620396</x:v>
      </x:c>
    </x:row>
    <x:row r="30">
      <x:c r="A30" t="str">
        <x:v>PLT-07</x:v>
      </x:c>
      <x:c r="B30" t="str">
        <x:v>Winnipeg</x:v>
      </x:c>
      <x:c r="C30" t="str">
        <x:v>MB</x:v>
      </x:c>
      <x:c r="D30" t="n">
        <x:v>46082</x:v>
      </x:c>
      <x:c r="E30" t="n">
        <x:v>4738</x:v>
      </x:c>
      <x:c r="F30" t="n">
        <x:v>4065</x:v>
      </x:c>
      <x:c r="G30" t="n">
        <x:v>148</x:v>
      </x:c>
      <x:c r="H30" t="n">
        <x:v>17.8</x:v>
      </x:c>
      <x:c r="I30" t="n">
        <x:v>164</x:v>
      </x:c>
      <x:c r="J30" t="n">
        <x:v>3</x:v>
      </x:c>
      <x:c r="K30" s="20" t="n">
        <x:f>IFERROR((F30-G30)/F30,0)</x:f>
        <x:v>0.9635916359163592</x:v>
      </x:c>
      <x:c r="L30" s="20" t="n">
        <x:f>IFERROR((I30-J30)/I30,0)</x:f>
        <x:v>0.9817073170731707</x:v>
      </x:c>
      <x:c r="M30" s="20" t="n">
        <x:f>IFERROR(F30/E30,0)</x:f>
        <x:v>0.857956943858168</x:v>
      </x:c>
    </x:row>
    <x:row r="31">
      <x:c r="A31" t="str">
        <x:v>PLT-07</x:v>
      </x:c>
      <x:c r="B31" t="str">
        <x:v>Winnipeg</x:v>
      </x:c>
      <x:c r="C31" t="str">
        <x:v>MB</x:v>
      </x:c>
      <x:c r="D31" t="n">
        <x:v>46113</x:v>
      </x:c>
      <x:c r="E31" t="n">
        <x:v>4523</x:v>
      </x:c>
      <x:c r="F31" t="n">
        <x:v>3704</x:v>
      </x:c>
      <x:c r="G31" t="n">
        <x:v>117</x:v>
      </x:c>
      <x:c r="H31" t="n">
        <x:v>54.4</x:v>
      </x:c>
      <x:c r="I31" t="n">
        <x:v>112</x:v>
      </x:c>
      <x:c r="J31" t="n">
        <x:v>8</x:v>
      </x:c>
      <x:c r="K31" s="20" t="n">
        <x:f>IFERROR((F31-G31)/F31,0)</x:f>
        <x:v>0.9684125269978402</x:v>
      </x:c>
      <x:c r="L31" s="20" t="n">
        <x:f>IFERROR((I31-J31)/I31,0)</x:f>
        <x:v>0.9285714285714286</x:v>
      </x:c>
      <x:c r="M31" s="20" t="n">
        <x:f>IFERROR(F31/E31,0)</x:f>
        <x:v>0.8189254919301349</x:v>
      </x:c>
    </x:row>
    <x:row r="32">
      <x:c r="A32" t="str">
        <x:v>PLT-08</x:v>
      </x:c>
      <x:c r="B32" t="str">
        <x:v>Calgary</x:v>
      </x:c>
      <x:c r="C32" t="str">
        <x:v>AB</x:v>
      </x:c>
      <x:c r="D32" t="n">
        <x:v>46023</x:v>
      </x:c>
      <x:c r="E32" t="n">
        <x:v>3808</x:v>
      </x:c>
      <x:c r="F32" t="n">
        <x:v>3209</x:v>
      </x:c>
      <x:c r="G32" t="n">
        <x:v>34</x:v>
      </x:c>
      <x:c r="H32" t="n">
        <x:v>10.7</x:v>
      </x:c>
      <x:c r="I32" t="n">
        <x:v>201</x:v>
      </x:c>
      <x:c r="J32" t="n">
        <x:v>13</x:v>
      </x:c>
      <x:c r="K32" s="20" t="n">
        <x:f>IFERROR((F32-G32)/F32,0)</x:f>
        <x:v>0.9894047990028046</x:v>
      </x:c>
      <x:c r="L32" s="20" t="n">
        <x:f>IFERROR((I32-J32)/I32,0)</x:f>
        <x:v>0.9353233830845771</x:v>
      </x:c>
      <x:c r="M32" s="20" t="n">
        <x:f>IFERROR(F32/E32,0)</x:f>
        <x:v>0.8426995798319328</x:v>
      </x:c>
    </x:row>
    <x:row r="33">
      <x:c r="A33" t="str">
        <x:v>PLT-08</x:v>
      </x:c>
      <x:c r="B33" t="str">
        <x:v>Calgary</x:v>
      </x:c>
      <x:c r="C33" t="str">
        <x:v>AB</x:v>
      </x:c>
      <x:c r="D33" t="n">
        <x:v>46054</x:v>
      </x:c>
      <x:c r="E33" t="n">
        <x:v>2271</x:v>
      </x:c>
      <x:c r="F33" t="n">
        <x:v>2118</x:v>
      </x:c>
      <x:c r="G33" t="n">
        <x:v>34</x:v>
      </x:c>
      <x:c r="H33" t="n">
        <x:v>37.4</x:v>
      </x:c>
      <x:c r="I33" t="n">
        <x:v>87</x:v>
      </x:c>
      <x:c r="J33" t="n">
        <x:v>10</x:v>
      </x:c>
      <x:c r="K33" s="20" t="n">
        <x:f>IFERROR((F33-G33)/F33,0)</x:f>
        <x:v>0.983947119924457</x:v>
      </x:c>
      <x:c r="L33" s="20" t="n">
        <x:f>IFERROR((I33-J33)/I33,0)</x:f>
        <x:v>0.8850574712643678</x:v>
      </x:c>
      <x:c r="M33" s="20" t="n">
        <x:f>IFERROR(F33/E33,0)</x:f>
        <x:v>0.9326287978863936</x:v>
      </x:c>
    </x:row>
    <x:row r="34">
      <x:c r="A34" t="str">
        <x:v>PLT-08</x:v>
      </x:c>
      <x:c r="B34" t="str">
        <x:v>Calgary</x:v>
      </x:c>
      <x:c r="C34" t="str">
        <x:v>AB</x:v>
      </x:c>
      <x:c r="D34" t="n">
        <x:v>46082</x:v>
      </x:c>
      <x:c r="E34" t="n">
        <x:v>2824</x:v>
      </x:c>
      <x:c r="F34" t="n">
        <x:v>2677</x:v>
      </x:c>
      <x:c r="G34" t="n">
        <x:v>126</x:v>
      </x:c>
      <x:c r="H34" t="n">
        <x:v>17.7</x:v>
      </x:c>
      <x:c r="I34" t="n">
        <x:v>121</x:v>
      </x:c>
      <x:c r="J34" t="n">
        <x:v>22</x:v>
      </x:c>
      <x:c r="K34" s="20" t="n">
        <x:f>IFERROR((F34-G34)/F34,0)</x:f>
        <x:v>0.9529323870003735</x:v>
      </x:c>
      <x:c r="L34" s="20" t="n">
        <x:f>IFERROR((I34-J34)/I34,0)</x:f>
        <x:v>0.8181818181818182</x:v>
      </x:c>
      <x:c r="M34" s="20" t="n">
        <x:f>IFERROR(F34/E34,0)</x:f>
        <x:v>0.9479461756373938</x:v>
      </x:c>
    </x:row>
    <x:row r="35">
      <x:c r="A35" t="str">
        <x:v>PLT-08</x:v>
      </x:c>
      <x:c r="B35" t="str">
        <x:v>Calgary</x:v>
      </x:c>
      <x:c r="C35" t="str">
        <x:v>AB</x:v>
      </x:c>
      <x:c r="D35" t="n">
        <x:v>46113</x:v>
      </x:c>
      <x:c r="E35" t="n">
        <x:v>3571</x:v>
      </x:c>
      <x:c r="F35" t="n">
        <x:v>2927</x:v>
      </x:c>
      <x:c r="G35" t="n">
        <x:v>60</x:v>
      </x:c>
      <x:c r="H35" t="n">
        <x:v>17.8</x:v>
      </x:c>
      <x:c r="I35" t="n">
        <x:v>139</x:v>
      </x:c>
      <x:c r="J35" t="n">
        <x:v>13</x:v>
      </x:c>
      <x:c r="K35" s="20" t="n">
        <x:f>IFERROR((F35-G35)/F35,0)</x:f>
        <x:v>0.9795011957635804</x:v>
      </x:c>
      <x:c r="L35" s="20" t="n">
        <x:f>IFERROR((I35-J35)/I35,0)</x:f>
        <x:v>0.9064748201438849</x:v>
      </x:c>
      <x:c r="M35" s="20" t="n">
        <x:f>IFERROR(F35/E35,0)</x:f>
        <x:v>0.8196583590030804</x:v>
      </x:c>
    </x:row>
    <x:row r="36">
      <x:c r="A36" t="str">
        <x:v>PLT-09</x:v>
      </x:c>
      <x:c r="B36" t="str">
        <x:v>Edmonton</x:v>
      </x:c>
      <x:c r="C36" t="str">
        <x:v>AB</x:v>
      </x:c>
      <x:c r="D36" t="n">
        <x:v>46023</x:v>
      </x:c>
      <x:c r="E36" t="n">
        <x:v>3324</x:v>
      </x:c>
      <x:c r="F36" t="n">
        <x:v>3161</x:v>
      </x:c>
      <x:c r="G36" t="n">
        <x:v>58</x:v>
      </x:c>
      <x:c r="H36" t="n">
        <x:v>13.6</x:v>
      </x:c>
      <x:c r="I36" t="n">
        <x:v>181</x:v>
      </x:c>
      <x:c r="J36" t="n">
        <x:v>37</x:v>
      </x:c>
      <x:c r="K36" s="20" t="n">
        <x:f>IFERROR((F36-G36)/F36,0)</x:f>
        <x:v>0.981651376146789</x:v>
      </x:c>
      <x:c r="L36" s="20" t="n">
        <x:f>IFERROR((I36-J36)/I36,0)</x:f>
        <x:v>0.7955801104972375</x:v>
      </x:c>
      <x:c r="M36" s="20" t="n">
        <x:f>IFERROR(F36/E36,0)</x:f>
        <x:v>0.9509626955475331</x:v>
      </x:c>
    </x:row>
    <x:row r="37">
      <x:c r="A37" t="str">
        <x:v>PLT-09</x:v>
      </x:c>
      <x:c r="B37" t="str">
        <x:v>Edmonton</x:v>
      </x:c>
      <x:c r="C37" t="str">
        <x:v>AB</x:v>
      </x:c>
      <x:c r="D37" t="n">
        <x:v>46054</x:v>
      </x:c>
      <x:c r="E37" t="n">
        <x:v>4205</x:v>
      </x:c>
      <x:c r="F37" t="n">
        <x:v>3639</x:v>
      </x:c>
      <x:c r="G37" t="n">
        <x:v>171</x:v>
      </x:c>
      <x:c r="H37" t="n">
        <x:v>34.3</x:v>
      </x:c>
      <x:c r="I37" t="n">
        <x:v>103</x:v>
      </x:c>
      <x:c r="J37" t="n">
        <x:v>14</x:v>
      </x:c>
      <x:c r="K37" s="20" t="n">
        <x:f>IFERROR((F37-G37)/F37,0)</x:f>
        <x:v>0.9530090684253916</x:v>
      </x:c>
      <x:c r="L37" s="20" t="n">
        <x:f>IFERROR((I37-J37)/I37,0)</x:f>
        <x:v>0.8640776699029126</x:v>
      </x:c>
      <x:c r="M37" s="20" t="n">
        <x:f>IFERROR(F37/E37,0)</x:f>
        <x:v>0.865398335315101</x:v>
      </x:c>
    </x:row>
    <x:row r="38">
      <x:c r="A38" t="str">
        <x:v>PLT-09</x:v>
      </x:c>
      <x:c r="B38" t="str">
        <x:v>Edmonton</x:v>
      </x:c>
      <x:c r="C38" t="str">
        <x:v>AB</x:v>
      </x:c>
      <x:c r="D38" t="n">
        <x:v>46082</x:v>
      </x:c>
      <x:c r="E38" t="n">
        <x:v>3581</x:v>
      </x:c>
      <x:c r="F38" t="n">
        <x:v>3578</x:v>
      </x:c>
      <x:c r="G38" t="n">
        <x:v>171</x:v>
      </x:c>
      <x:c r="H38" t="n">
        <x:v>32.2</x:v>
      </x:c>
      <x:c r="I38" t="n">
        <x:v>177</x:v>
      </x:c>
      <x:c r="J38" t="n">
        <x:v>21</x:v>
      </x:c>
      <x:c r="K38" s="20" t="n">
        <x:f>IFERROR((F38-G38)/F38,0)</x:f>
        <x:v>0.9522079373951928</x:v>
      </x:c>
      <x:c r="L38" s="20" t="n">
        <x:f>IFERROR((I38-J38)/I38,0)</x:f>
        <x:v>0.8813559322033898</x:v>
      </x:c>
      <x:c r="M38" s="20" t="n">
        <x:f>IFERROR(F38/E38,0)</x:f>
        <x:v>0.9991622451829097</x:v>
      </x:c>
    </x:row>
    <x:row r="39">
      <x:c r="A39" t="str">
        <x:v>PLT-09</x:v>
      </x:c>
      <x:c r="B39" t="str">
        <x:v>Edmonton</x:v>
      </x:c>
      <x:c r="C39" t="str">
        <x:v>AB</x:v>
      </x:c>
      <x:c r="D39" t="n">
        <x:v>46113</x:v>
      </x:c>
      <x:c r="E39" t="n">
        <x:v>2650</x:v>
      </x:c>
      <x:c r="F39" t="n">
        <x:v>2558</x:v>
      </x:c>
      <x:c r="G39" t="n">
        <x:v>30</x:v>
      </x:c>
      <x:c r="H39" t="n">
        <x:v>29.4</x:v>
      </x:c>
      <x:c r="I39" t="n">
        <x:v>168</x:v>
      </x:c>
      <x:c r="J39" t="n">
        <x:v>19</x:v>
      </x:c>
      <x:c r="K39" s="20" t="n">
        <x:f>IFERROR((F39-G39)/F39,0)</x:f>
        <x:v>0.9882720875684128</x:v>
      </x:c>
      <x:c r="L39" s="20" t="n">
        <x:f>IFERROR((I39-J39)/I39,0)</x:f>
        <x:v>0.8869047619047619</x:v>
      </x:c>
      <x:c r="M39" s="20" t="n">
        <x:f>IFERROR(F39/E39,0)</x:f>
        <x:v>0.9652830188679246</x:v>
      </x:c>
    </x:row>
    <x:row r="40">
      <x:c r="A40" t="str">
        <x:v>PLT-10</x:v>
      </x:c>
      <x:c r="B40" t="str">
        <x:v>Vancouver</x:v>
      </x:c>
      <x:c r="C40" t="str">
        <x:v>BC</x:v>
      </x:c>
      <x:c r="D40" t="n">
        <x:v>46023</x:v>
      </x:c>
      <x:c r="E40" t="n">
        <x:v>4445</x:v>
      </x:c>
      <x:c r="F40" t="n">
        <x:v>3928</x:v>
      </x:c>
      <x:c r="G40" t="n">
        <x:v>75</x:v>
      </x:c>
      <x:c r="H40" t="n">
        <x:v>52.5</x:v>
      </x:c>
      <x:c r="I40" t="n">
        <x:v>179</x:v>
      </x:c>
      <x:c r="J40" t="n">
        <x:v>35</x:v>
      </x:c>
      <x:c r="K40" s="20" t="n">
        <x:f>IFERROR((F40-G40)/F40,0)</x:f>
        <x:v>0.9809063136456212</x:v>
      </x:c>
      <x:c r="L40" s="20" t="n">
        <x:f>IFERROR((I40-J40)/I40,0)</x:f>
        <x:v>0.8044692737430168</x:v>
      </x:c>
      <x:c r="M40" s="20" t="n">
        <x:f>IFERROR(F40/E40,0)</x:f>
        <x:v>0.883689538807649</x:v>
      </x:c>
    </x:row>
    <x:row r="41">
      <x:c r="A41" t="str">
        <x:v>PLT-10</x:v>
      </x:c>
      <x:c r="B41" t="str">
        <x:v>Vancouver</x:v>
      </x:c>
      <x:c r="C41" t="str">
        <x:v>BC</x:v>
      </x:c>
      <x:c r="D41" t="n">
        <x:v>46054</x:v>
      </x:c>
      <x:c r="E41" t="n">
        <x:v>3952</x:v>
      </x:c>
      <x:c r="F41" t="n">
        <x:v>3474</x:v>
      </x:c>
      <x:c r="G41" t="n">
        <x:v>54</x:v>
      </x:c>
      <x:c r="H41" t="n">
        <x:v>6.8</x:v>
      </x:c>
      <x:c r="I41" t="n">
        <x:v>134</x:v>
      </x:c>
      <x:c r="J41" t="n">
        <x:v>22</x:v>
      </x:c>
      <x:c r="K41" s="20" t="n">
        <x:f>IFERROR((F41-G41)/F41,0)</x:f>
        <x:v>0.9844559585492227</x:v>
      </x:c>
      <x:c r="L41" s="20" t="n">
        <x:f>IFERROR((I41-J41)/I41,0)</x:f>
        <x:v>0.835820895522388</x:v>
      </x:c>
      <x:c r="M41" s="20" t="n">
        <x:f>IFERROR(F41/E41,0)</x:f>
        <x:v>0.8790485829959515</x:v>
      </x:c>
    </x:row>
    <x:row r="42">
      <x:c r="A42" t="str">
        <x:v>PLT-10</x:v>
      </x:c>
      <x:c r="B42" t="str">
        <x:v>Vancouver</x:v>
      </x:c>
      <x:c r="C42" t="str">
        <x:v>BC</x:v>
      </x:c>
      <x:c r="D42" t="n">
        <x:v>46082</x:v>
      </x:c>
      <x:c r="E42" t="n">
        <x:v>4015</x:v>
      </x:c>
      <x:c r="F42" t="n">
        <x:v>3009</x:v>
      </x:c>
      <x:c r="G42" t="n">
        <x:v>114</x:v>
      </x:c>
      <x:c r="H42" t="n">
        <x:v>33.6</x:v>
      </x:c>
      <x:c r="I42" t="n">
        <x:v>117</x:v>
      </x:c>
      <x:c r="J42" t="n">
        <x:v>13</x:v>
      </x:c>
      <x:c r="K42" s="20" t="n">
        <x:f>IFERROR((F42-G42)/F42,0)</x:f>
        <x:v>0.9621136590229312</x:v>
      </x:c>
      <x:c r="L42" s="20" t="n">
        <x:f>IFERROR((I42-J42)/I42,0)</x:f>
        <x:v>0.8888888888888888</x:v>
      </x:c>
      <x:c r="M42" s="20" t="n">
        <x:f>IFERROR(F42/E42,0)</x:f>
        <x:v>0.749439601494396</x:v>
      </x:c>
    </x:row>
    <x:row r="43">
      <x:c r="A43" t="str">
        <x:v>PLT-10</x:v>
      </x:c>
      <x:c r="B43" t="str">
        <x:v>Vancouver</x:v>
      </x:c>
      <x:c r="C43" t="str">
        <x:v>BC</x:v>
      </x:c>
      <x:c r="D43" t="n">
        <x:v>46113</x:v>
      </x:c>
      <x:c r="E43" t="n">
        <x:v>4239</x:v>
      </x:c>
      <x:c r="F43" t="n">
        <x:v>3137</x:v>
      </x:c>
      <x:c r="G43" t="n">
        <x:v>172</x:v>
      </x:c>
      <x:c r="H43" t="n">
        <x:v>38.2</x:v>
      </x:c>
      <x:c r="I43" t="n">
        <x:v>146</x:v>
      </x:c>
      <x:c r="J43" t="n">
        <x:v>23</x:v>
      </x:c>
      <x:c r="K43" s="20" t="n">
        <x:f>IFERROR((F43-G43)/F43,0)</x:f>
        <x:v>0.9451705451067899</x:v>
      </x:c>
      <x:c r="L43" s="20" t="n">
        <x:f>IFERROR((I43-J43)/I43,0)</x:f>
        <x:v>0.8424657534246576</x:v>
      </x:c>
      <x:c r="M43" s="20" t="n">
        <x:f>IFERROR(F43/E43,0)</x:f>
        <x:v>0.7400330266572305</x:v>
      </x:c>
    </x:row>
    <x:row r="44">
      <x:c r="A44" t="str">
        <x:v>PLT-11</x:v>
      </x:c>
      <x:c r="B44" t="str">
        <x:v>Halifax</x:v>
      </x:c>
      <x:c r="C44" t="str">
        <x:v>NS</x:v>
      </x:c>
      <x:c r="D44" t="n">
        <x:v>46023</x:v>
      </x:c>
      <x:c r="E44" t="n">
        <x:v>5071</x:v>
      </x:c>
      <x:c r="F44" t="n">
        <x:v>4173</x:v>
      </x:c>
      <x:c r="G44" t="n">
        <x:v>121</x:v>
      </x:c>
      <x:c r="H44" t="n">
        <x:v>24.7</x:v>
      </x:c>
      <x:c r="I44" t="n">
        <x:v>181</x:v>
      </x:c>
      <x:c r="J44" t="n">
        <x:v>32</x:v>
      </x:c>
      <x:c r="K44" s="20" t="n">
        <x:f>IFERROR((F44-G44)/F44,0)</x:f>
        <x:v>0.9710040738078122</x:v>
      </x:c>
      <x:c r="L44" s="20" t="n">
        <x:f>IFERROR((I44-J44)/I44,0)</x:f>
        <x:v>0.8232044198895028</x:v>
      </x:c>
      <x:c r="M44" s="20" t="n">
        <x:f>IFERROR(F44/E44,0)</x:f>
        <x:v>0.822914612502465</x:v>
      </x:c>
    </x:row>
    <x:row r="45">
      <x:c r="A45" t="str">
        <x:v>PLT-11</x:v>
      </x:c>
      <x:c r="B45" t="str">
        <x:v>Halifax</x:v>
      </x:c>
      <x:c r="C45" t="str">
        <x:v>NS</x:v>
      </x:c>
      <x:c r="D45" t="n">
        <x:v>46054</x:v>
      </x:c>
      <x:c r="E45" t="n">
        <x:v>2978</x:v>
      </x:c>
      <x:c r="F45" t="n">
        <x:v>2315</x:v>
      </x:c>
      <x:c r="G45" t="n">
        <x:v>34</x:v>
      </x:c>
      <x:c r="H45" t="n">
        <x:v>14.4</x:v>
      </x:c>
      <x:c r="I45" t="n">
        <x:v>93</x:v>
      </x:c>
      <x:c r="J45" t="n">
        <x:v>6</x:v>
      </x:c>
      <x:c r="K45" s="20" t="n">
        <x:f>IFERROR((F45-G45)/F45,0)</x:f>
        <x:v>0.9853131749460043</x:v>
      </x:c>
      <x:c r="L45" s="20" t="n">
        <x:f>IFERROR((I45-J45)/I45,0)</x:f>
        <x:v>0.9354838709677419</x:v>
      </x:c>
      <x:c r="M45" s="20" t="n">
        <x:f>IFERROR(F45/E45,0)</x:f>
        <x:v>0.777367360644728</x:v>
      </x:c>
    </x:row>
    <x:row r="46">
      <x:c r="A46" t="str">
        <x:v>PLT-11</x:v>
      </x:c>
      <x:c r="B46" t="str">
        <x:v>Halifax</x:v>
      </x:c>
      <x:c r="C46" t="str">
        <x:v>NS</x:v>
      </x:c>
      <x:c r="D46" t="n">
        <x:v>46082</x:v>
      </x:c>
      <x:c r="E46" t="n">
        <x:v>3013</x:v>
      </x:c>
      <x:c r="F46" t="n">
        <x:v>2655</x:v>
      </x:c>
      <x:c r="G46" t="n">
        <x:v>31</x:v>
      </x:c>
      <x:c r="H46" t="n">
        <x:v>16.2</x:v>
      </x:c>
      <x:c r="I46" t="n">
        <x:v>161</x:v>
      </x:c>
      <x:c r="J46" t="n">
        <x:v>24</x:v>
      </x:c>
      <x:c r="K46" s="20" t="n">
        <x:f>IFERROR((F46-G46)/F46,0)</x:f>
        <x:v>0.9883239171374765</x:v>
      </x:c>
      <x:c r="L46" s="20" t="n">
        <x:f>IFERROR((I46-J46)/I46,0)</x:f>
        <x:v>0.8509316770186336</x:v>
      </x:c>
      <x:c r="M46" s="20" t="n">
        <x:f>IFERROR(F46/E46,0)</x:f>
        <x:v>0.8811815466312645</x:v>
      </x:c>
    </x:row>
    <x:row r="47">
      <x:c r="A47" t="str">
        <x:v>PLT-11</x:v>
      </x:c>
      <x:c r="B47" t="str">
        <x:v>Halifax</x:v>
      </x:c>
      <x:c r="C47" t="str">
        <x:v>NS</x:v>
      </x:c>
      <x:c r="D47" t="n">
        <x:v>46113</x:v>
      </x:c>
      <x:c r="E47" t="n">
        <x:v>2776</x:v>
      </x:c>
      <x:c r="F47" t="n">
        <x:v>2690</x:v>
      </x:c>
      <x:c r="G47" t="n">
        <x:v>155</x:v>
      </x:c>
      <x:c r="H47" t="n">
        <x:v>19.4</x:v>
      </x:c>
      <x:c r="I47" t="n">
        <x:v>140</x:v>
      </x:c>
      <x:c r="J47" t="n">
        <x:v>22</x:v>
      </x:c>
      <x:c r="K47" s="20" t="n">
        <x:f>IFERROR((F47-G47)/F47,0)</x:f>
        <x:v>0.9423791821561338</x:v>
      </x:c>
      <x:c r="L47" s="20" t="n">
        <x:f>IFERROR((I47-J47)/I47,0)</x:f>
        <x:v>0.8428571428571429</x:v>
      </x:c>
      <x:c r="M47" s="20" t="n">
        <x:f>IFERROR(F47/E47,0)</x:f>
        <x:v>0.9690201729106628</x:v>
      </x:c>
    </x:row>
    <x:row r="48">
      <x:c r="A48" t="str">
        <x:v>PLT-12</x:v>
      </x:c>
      <x:c r="B48" t="str">
        <x:v>Saskatoon</x:v>
      </x:c>
      <x:c r="C48" t="str">
        <x:v>SK</x:v>
      </x:c>
      <x:c r="D48" t="n">
        <x:v>46023</x:v>
      </x:c>
      <x:c r="E48" t="n">
        <x:v>3667</x:v>
      </x:c>
      <x:c r="F48" t="n">
        <x:v>3386</x:v>
      </x:c>
      <x:c r="G48" t="n">
        <x:v>112</x:v>
      </x:c>
      <x:c r="H48" t="n">
        <x:v>48.4</x:v>
      </x:c>
      <x:c r="I48" t="n">
        <x:v>198</x:v>
      </x:c>
      <x:c r="J48" t="n">
        <x:v>37</x:v>
      </x:c>
      <x:c r="K48" s="20" t="n">
        <x:f>IFERROR((F48-G48)/F48,0)</x:f>
        <x:v>0.9669226225634967</x:v>
      </x:c>
      <x:c r="L48" s="20" t="n">
        <x:f>IFERROR((I48-J48)/I48,0)</x:f>
        <x:v>0.8131313131313131</x:v>
      </x:c>
      <x:c r="M48" s="20" t="n">
        <x:f>IFERROR(F48/E48,0)</x:f>
        <x:v>0.9233706026724843</x:v>
      </x:c>
    </x:row>
    <x:row r="49">
      <x:c r="A49" t="str">
        <x:v>PLT-12</x:v>
      </x:c>
      <x:c r="B49" t="str">
        <x:v>Saskatoon</x:v>
      </x:c>
      <x:c r="C49" t="str">
        <x:v>SK</x:v>
      </x:c>
      <x:c r="D49" t="n">
        <x:v>46054</x:v>
      </x:c>
      <x:c r="E49" t="n">
        <x:v>3266</x:v>
      </x:c>
      <x:c r="F49" t="n">
        <x:v>2492</x:v>
      </x:c>
      <x:c r="G49" t="n">
        <x:v>68</x:v>
      </x:c>
      <x:c r="H49" t="n">
        <x:v>5.8</x:v>
      </x:c>
      <x:c r="I49" t="n">
        <x:v>130</x:v>
      </x:c>
      <x:c r="J49" t="n">
        <x:v>8</x:v>
      </x:c>
      <x:c r="K49" s="20" t="n">
        <x:f>IFERROR((F49-G49)/F49,0)</x:f>
        <x:v>0.9727126805778491</x:v>
      </x:c>
      <x:c r="L49" s="20" t="n">
        <x:f>IFERROR((I49-J49)/I49,0)</x:f>
        <x:v>0.9384615384615385</x:v>
      </x:c>
      <x:c r="M49" s="20" t="n">
        <x:f>IFERROR(F49/E49,0)</x:f>
        <x:v>0.7630128597672995</x:v>
      </x:c>
    </x:row>
    <x:row r="50">
      <x:c r="A50" t="str">
        <x:v>PLT-12</x:v>
      </x:c>
      <x:c r="B50" t="str">
        <x:v>Saskatoon</x:v>
      </x:c>
      <x:c r="C50" t="str">
        <x:v>SK</x:v>
      </x:c>
      <x:c r="D50" t="n">
        <x:v>46082</x:v>
      </x:c>
      <x:c r="E50" t="n">
        <x:v>2184</x:v>
      </x:c>
      <x:c r="F50" t="n">
        <x:v>2069</x:v>
      </x:c>
      <x:c r="G50" t="n">
        <x:v>58</x:v>
      </x:c>
      <x:c r="H50" t="n">
        <x:v>24</x:v>
      </x:c>
      <x:c r="I50" t="n">
        <x:v>154</x:v>
      </x:c>
      <x:c r="J50" t="n">
        <x:v>19</x:v>
      </x:c>
      <x:c r="K50" s="20" t="n">
        <x:f>IFERROR((F50-G50)/F50,0)</x:f>
        <x:v>0.971967133881102</x:v>
      </x:c>
      <x:c r="L50" s="20" t="n">
        <x:f>IFERROR((I50-J50)/I50,0)</x:f>
        <x:v>0.8766233766233766</x:v>
      </x:c>
      <x:c r="M50" s="20" t="n">
        <x:f>IFERROR(F50/E50,0)</x:f>
        <x:v>0.9473443223443223</x:v>
      </x:c>
    </x:row>
    <x:row r="51">
      <x:c r="A51" t="str">
        <x:v>PLT-12</x:v>
      </x:c>
      <x:c r="B51" t="str">
        <x:v>Saskatoon</x:v>
      </x:c>
      <x:c r="C51" t="str">
        <x:v>SK</x:v>
      </x:c>
      <x:c r="D51" t="n">
        <x:v>46113</x:v>
      </x:c>
      <x:c r="E51" t="n">
        <x:v>4000</x:v>
      </x:c>
      <x:c r="F51" t="n">
        <x:v>3226</x:v>
      </x:c>
      <x:c r="G51" t="n">
        <x:v>179</x:v>
      </x:c>
      <x:c r="H51" t="n">
        <x:v>19.6</x:v>
      </x:c>
      <x:c r="I51" t="n">
        <x:v>80</x:v>
      </x:c>
      <x:c r="J51" t="n">
        <x:v>14</x:v>
      </x:c>
      <x:c r="K51" s="20" t="n">
        <x:f>IFERROR((F51-G51)/F51,0)</x:f>
        <x:v>0.944513329200248</x:v>
      </x:c>
      <x:c r="L51" s="20" t="n">
        <x:f>IFERROR((I51-J51)/I51,0)</x:f>
        <x:v>0.825</x:v>
      </x:c>
      <x:c r="M51" s="20" t="n">
        <x:f>IFERROR(F51/E51,0)</x:f>
        <x:v>0.8065</x:v>
      </x:c>
    </x:row>
  </x:sheetData>
  <x:conditionalFormatting sqref="K4:M51">
    <x:cfRule type="colorScale" priority="1">
      <x:colorScale>
        <x:cfvo type="min"/>
        <x:cfvo type="percentile" val="50"/>
        <x:cfvo type="max"/>
        <x:color rgb="FFFDE8E7"/>
        <x:color rgb="FFFFF3D7"/>
        <x:color rgb="FFDCF4EA"/>
      </x:colorScale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6" customHeight="1">
      <x:c r="A1" s="97" t="str">
        <x:v>FINANCE | Monthly plant P&amp;L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3" ht="26" customHeight="1">
      <x:c r="A3" s="99" t="str">
        <x:v>Plant ID</x:v>
      </x:c>
      <x:c r="B3" s="99" t="str">
        <x:v>Facility</x:v>
      </x:c>
      <x:c r="C3" s="99" t="str">
        <x:v>Month</x:v>
      </x:c>
      <x:c r="D3" s="99" t="str">
        <x:v>Revenue CAD</x:v>
      </x:c>
      <x:c r="E3" s="99" t="str">
        <x:v>Materials CAD</x:v>
      </x:c>
      <x:c r="F3" s="99" t="str">
        <x:v>Labor CAD</x:v>
      </x:c>
      <x:c r="G3" s="99" t="str">
        <x:v>Overhead CAD</x:v>
      </x:c>
      <x:c r="H3" s="99" t="str">
        <x:v>Operating profit</x:v>
      </x:c>
      <x:c r="I3" s="99" t="str">
        <x:v>Margin %</x:v>
      </x:c>
      <x:c r="J3" s="99" t="str">
        <x:v>Cost ratio</x:v>
      </x:c>
    </x:row>
    <x:row r="4">
      <x:c r="A4" t="str">
        <x:v>PLT-01</x:v>
      </x:c>
      <x:c r="B4" t="str">
        <x:v>Montréal</x:v>
      </x:c>
      <x:c r="C4" t="n">
        <x:v>46023</x:v>
      </x:c>
      <x:c r="D4" s="22" t="n">
        <x:v>857850</x:v>
      </x:c>
      <x:c r="E4" s="22" t="n">
        <x:v>297545</x:v>
      </x:c>
      <x:c r="F4" s="22" t="n">
        <x:v>184361</x:v>
      </x:c>
      <x:c r="G4" s="22" t="n">
        <x:v>160141</x:v>
      </x:c>
      <x:c r="H4" s="22" t="n">
        <x:f>D4-SUM(E4:G4)</x:f>
        <x:v>215803</x:v>
      </x:c>
      <x:c r="I4" s="20" t="n">
        <x:f>IFERROR(H4/D4,0)</x:f>
        <x:v>0.25156262749898</x:v>
      </x:c>
      <x:c r="J4" s="20" t="n">
        <x:f>IFERROR(SUM(E4:G4)/D4,0)</x:f>
        <x:v>0.7484373725010199</x:v>
      </x:c>
    </x:row>
    <x:row r="5">
      <x:c r="A5" t="str">
        <x:v>PLT-01</x:v>
      </x:c>
      <x:c r="B5" t="str">
        <x:v>Montréal</x:v>
      </x:c>
      <x:c r="C5" t="n">
        <x:v>46054</x:v>
      </x:c>
      <x:c r="D5" s="22" t="n">
        <x:v>400670</x:v>
      </x:c>
      <x:c r="E5" s="22" t="n">
        <x:v>135944</x:v>
      </x:c>
      <x:c r="F5" s="22" t="n">
        <x:v>77068</x:v>
      </x:c>
      <x:c r="G5" s="22" t="n">
        <x:v>64909</x:v>
      </x:c>
      <x:c r="H5" s="22" t="n">
        <x:f>D5-SUM(E5:G5)</x:f>
        <x:v>122749</x:v>
      </x:c>
      <x:c r="I5" s="20" t="n">
        <x:f>IFERROR(H5/D5,0)</x:f>
        <x:v>0.306359348091946</x:v>
      </x:c>
      <x:c r="J5" s="20" t="n">
        <x:f>IFERROR(SUM(E5:G5)/D5,0)</x:f>
        <x:v>0.693640651908054</x:v>
      </x:c>
    </x:row>
    <x:row r="6">
      <x:c r="A6" t="str">
        <x:v>PLT-01</x:v>
      </x:c>
      <x:c r="B6" t="str">
        <x:v>Montréal</x:v>
      </x:c>
      <x:c r="C6" t="n">
        <x:v>46082</x:v>
      </x:c>
      <x:c r="D6" s="22" t="n">
        <x:v>774700</x:v>
      </x:c>
      <x:c r="E6" s="22" t="n">
        <x:v>253013</x:v>
      </x:c>
      <x:c r="F6" s="22" t="n">
        <x:v>209181</x:v>
      </x:c>
      <x:c r="G6" s="22" t="n">
        <x:v>130916</x:v>
      </x:c>
      <x:c r="H6" s="22" t="n">
        <x:f>D6-SUM(E6:G6)</x:f>
        <x:v>181590</x:v>
      </x:c>
      <x:c r="I6" s="20" t="n">
        <x:f>IFERROR(H6/D6,0)</x:f>
        <x:v>0.2344004130631212</x:v>
      </x:c>
      <x:c r="J6" s="20" t="n">
        <x:f>IFERROR(SUM(E6:G6)/D6,0)</x:f>
        <x:v>0.7655995869368788</x:v>
      </x:c>
    </x:row>
    <x:row r="7">
      <x:c r="A7" t="str">
        <x:v>PLT-01</x:v>
      </x:c>
      <x:c r="B7" t="str">
        <x:v>Montréal</x:v>
      </x:c>
      <x:c r="C7" t="n">
        <x:v>46113</x:v>
      </x:c>
      <x:c r="D7" s="22" t="n">
        <x:v>618234</x:v>
      </x:c>
      <x:c r="E7" s="22" t="n">
        <x:v>208839</x:v>
      </x:c>
      <x:c r="F7" s="22" t="n">
        <x:v>130014</x:v>
      </x:c>
      <x:c r="G7" s="22" t="n">
        <x:v>94089</x:v>
      </x:c>
      <x:c r="H7" s="22" t="n">
        <x:f>D7-SUM(E7:G7)</x:f>
        <x:v>185292</x:v>
      </x:c>
      <x:c r="I7" s="20" t="n">
        <x:f>IFERROR(H7/D7,0)</x:f>
        <x:v>0.29971175962499635</x:v>
      </x:c>
      <x:c r="J7" s="20" t="n">
        <x:f>IFERROR(SUM(E7:G7)/D7,0)</x:f>
        <x:v>0.7002882403750036</x:v>
      </x:c>
    </x:row>
    <x:row r="8">
      <x:c r="A8" t="str">
        <x:v>PLT-02</x:v>
      </x:c>
      <x:c r="B8" t="str">
        <x:v>Québec City</x:v>
      </x:c>
      <x:c r="C8" t="n">
        <x:v>46023</x:v>
      </x:c>
      <x:c r="D8" s="22" t="n">
        <x:v>504075</x:v>
      </x:c>
      <x:c r="E8" s="22" t="n">
        <x:v>159011</x:v>
      </x:c>
      <x:c r="F8" s="22" t="n">
        <x:v>126011</x:v>
      </x:c>
      <x:c r="G8" s="22" t="n">
        <x:v>86920</x:v>
      </x:c>
      <x:c r="H8" s="22" t="n">
        <x:f>D8-SUM(E8:G8)</x:f>
        <x:v>132133</x:v>
      </x:c>
      <x:c r="I8" s="20" t="n">
        <x:f>IFERROR(H8/D8,0)</x:f>
        <x:v>0.2621296434062392</x:v>
      </x:c>
      <x:c r="J8" s="20" t="n">
        <x:f>IFERROR(SUM(E8:G8)/D8,0)</x:f>
        <x:v>0.7378703565937609</x:v>
      </x:c>
    </x:row>
    <x:row r="9">
      <x:c r="A9" t="str">
        <x:v>PLT-02</x:v>
      </x:c>
      <x:c r="B9" t="str">
        <x:v>Québec City</x:v>
      </x:c>
      <x:c r="C9" t="n">
        <x:v>46054</x:v>
      </x:c>
      <x:c r="D9" s="22" t="n">
        <x:v>609739</x:v>
      </x:c>
      <x:c r="E9" s="22" t="n">
        <x:v>193325</x:v>
      </x:c>
      <x:c r="F9" s="22" t="n">
        <x:v>161165</x:v>
      </x:c>
      <x:c r="G9" s="22" t="n">
        <x:v>106388</x:v>
      </x:c>
      <x:c r="H9" s="22" t="n">
        <x:f>D9-SUM(E9:G9)</x:f>
        <x:v>148861</x:v>
      </x:c>
      <x:c r="I9" s="20" t="n">
        <x:f>IFERROR(H9/D9,0)</x:f>
        <x:v>0.24413888565435374</x:v>
      </x:c>
      <x:c r="J9" s="20" t="n">
        <x:f>IFERROR(SUM(E9:G9)/D9,0)</x:f>
        <x:v>0.7558611143456463</x:v>
      </x:c>
    </x:row>
    <x:row r="10">
      <x:c r="A10" t="str">
        <x:v>PLT-02</x:v>
      </x:c>
      <x:c r="B10" t="str">
        <x:v>Québec City</x:v>
      </x:c>
      <x:c r="C10" t="n">
        <x:v>46082</x:v>
      </x:c>
      <x:c r="D10" s="22" t="n">
        <x:v>828880</x:v>
      </x:c>
      <x:c r="E10" s="22" t="n">
        <x:v>320143</x:v>
      </x:c>
      <x:c r="F10" s="22" t="n">
        <x:v>208922</x:v>
      </x:c>
      <x:c r="G10" s="22" t="n">
        <x:v>127699</x:v>
      </x:c>
      <x:c r="H10" s="22" t="n">
        <x:f>D10-SUM(E10:G10)</x:f>
        <x:v>172116</x:v>
      </x:c>
      <x:c r="I10" s="20" t="n">
        <x:f>IFERROR(H10/D10,0)</x:f>
        <x:v>0.20764887559115916</x:v>
      </x:c>
      <x:c r="J10" s="20" t="n">
        <x:f>IFERROR(SUM(E10:G10)/D10,0)</x:f>
        <x:v>0.7923511244088408</x:v>
      </x:c>
    </x:row>
    <x:row r="11">
      <x:c r="A11" t="str">
        <x:v>PLT-02</x:v>
      </x:c>
      <x:c r="B11" t="str">
        <x:v>Québec City</x:v>
      </x:c>
      <x:c r="C11" t="n">
        <x:v>46113</x:v>
      </x:c>
      <x:c r="D11" s="22" t="n">
        <x:v>294855</x:v>
      </x:c>
      <x:c r="E11" s="22" t="n">
        <x:v>126459</x:v>
      </x:c>
      <x:c r="F11" s="22" t="n">
        <x:v>57754</x:v>
      </x:c>
      <x:c r="G11" s="22" t="n">
        <x:v>32818</x:v>
      </x:c>
      <x:c r="H11" s="22" t="n">
        <x:f>D11-SUM(E11:G11)</x:f>
        <x:v>77824</x:v>
      </x:c>
      <x:c r="I11" s="20" t="n">
        <x:f>IFERROR(H11/D11,0)</x:f>
        <x:v>0.2639399026640213</x:v>
      </x:c>
      <x:c r="J11" s="20" t="n">
        <x:f>IFERROR(SUM(E11:G11)/D11,0)</x:f>
        <x:v>0.7360600973359787</x:v>
      </x:c>
    </x:row>
    <x:row r="12">
      <x:c r="A12" t="str">
        <x:v>PLT-03</x:v>
      </x:c>
      <x:c r="B12" t="str">
        <x:v>Toronto</x:v>
      </x:c>
      <x:c r="C12" t="n">
        <x:v>46023</x:v>
      </x:c>
      <x:c r="D12" s="22" t="n">
        <x:v>1010328</x:v>
      </x:c>
      <x:c r="E12" s="22" t="n">
        <x:v>320164</x:v>
      </x:c>
      <x:c r="F12" s="22" t="n">
        <x:v>267601</x:v>
      </x:c>
      <x:c r="G12" s="22" t="n">
        <x:v>140367</x:v>
      </x:c>
      <x:c r="H12" s="22" t="n">
        <x:f>D12-SUM(E12:G12)</x:f>
        <x:v>282196</x:v>
      </x:c>
      <x:c r="I12" s="20" t="n">
        <x:f>IFERROR(H12/D12,0)</x:f>
        <x:v>0.2793112731706931</x:v>
      </x:c>
      <x:c r="J12" s="20" t="n">
        <x:f>IFERROR(SUM(E12:G12)/D12,0)</x:f>
        <x:v>0.720688726829307</x:v>
      </x:c>
    </x:row>
    <x:row r="13">
      <x:c r="A13" t="str">
        <x:v>PLT-03</x:v>
      </x:c>
      <x:c r="B13" t="str">
        <x:v>Toronto</x:v>
      </x:c>
      <x:c r="C13" t="n">
        <x:v>46054</x:v>
      </x:c>
      <x:c r="D13" s="22" t="n">
        <x:v>1014380</x:v>
      </x:c>
      <x:c r="E13" s="22" t="n">
        <x:v>441440</x:v>
      </x:c>
      <x:c r="F13" s="22" t="n">
        <x:v>270989</x:v>
      </x:c>
      <x:c r="G13" s="22" t="n">
        <x:v>168362</x:v>
      </x:c>
      <x:c r="H13" s="22" t="n">
        <x:f>D13-SUM(E13:G13)</x:f>
        <x:v>133589</x:v>
      </x:c>
      <x:c r="I13" s="20" t="n">
        <x:f>IFERROR(H13/D13,0)</x:f>
        <x:v>0.1316952226976084</x:v>
      </x:c>
      <x:c r="J13" s="20" t="n">
        <x:f>IFERROR(SUM(E13:G13)/D13,0)</x:f>
        <x:v>0.8683047773023916</x:v>
      </x:c>
    </x:row>
    <x:row r="14">
      <x:c r="A14" t="str">
        <x:v>PLT-03</x:v>
      </x:c>
      <x:c r="B14" t="str">
        <x:v>Toronto</x:v>
      </x:c>
      <x:c r="C14" t="n">
        <x:v>46082</x:v>
      </x:c>
      <x:c r="D14" s="22" t="n">
        <x:v>781482</x:v>
      </x:c>
      <x:c r="E14" s="22" t="n">
        <x:v>312935</x:v>
      </x:c>
      <x:c r="F14" s="22" t="n">
        <x:v>159665</x:v>
      </x:c>
      <x:c r="G14" s="22" t="n">
        <x:v>134691</x:v>
      </x:c>
      <x:c r="H14" s="22" t="n">
        <x:f>D14-SUM(E14:G14)</x:f>
        <x:v>174191</x:v>
      </x:c>
      <x:c r="I14" s="20" t="n">
        <x:f>IFERROR(H14/D14,0)</x:f>
        <x:v>0.22289828812435858</x:v>
      </x:c>
      <x:c r="J14" s="20" t="n">
        <x:f>IFERROR(SUM(E14:G14)/D14,0)</x:f>
        <x:v>0.7771017118756414</x:v>
      </x:c>
    </x:row>
    <x:row r="15">
      <x:c r="A15" t="str">
        <x:v>PLT-03</x:v>
      </x:c>
      <x:c r="B15" t="str">
        <x:v>Toronto</x:v>
      </x:c>
      <x:c r="C15" t="n">
        <x:v>46113</x:v>
      </x:c>
      <x:c r="D15" s="22" t="n">
        <x:v>889430</x:v>
      </x:c>
      <x:c r="E15" s="22" t="n">
        <x:v>292787</x:v>
      </x:c>
      <x:c r="F15" s="22" t="n">
        <x:v>185028</x:v>
      </x:c>
      <x:c r="G15" s="22" t="n">
        <x:v>120257</x:v>
      </x:c>
      <x:c r="H15" s="22" t="n">
        <x:f>D15-SUM(E15:G15)</x:f>
        <x:v>291358</x:v>
      </x:c>
      <x:c r="I15" s="20" t="n">
        <x:f>IFERROR(H15/D15,0)</x:f>
        <x:v>0.32757833668754144</x:v>
      </x:c>
      <x:c r="J15" s="20" t="n">
        <x:f>IFERROR(SUM(E15:G15)/D15,0)</x:f>
        <x:v>0.6724216633124586</x:v>
      </x:c>
    </x:row>
    <x:row r="16">
      <x:c r="A16" t="str">
        <x:v>PLT-04</x:v>
      </x:c>
      <x:c r="B16" t="str">
        <x:v>Ottawa</x:v>
      </x:c>
      <x:c r="C16" t="n">
        <x:v>46023</x:v>
      </x:c>
      <x:c r="D16" s="22" t="n">
        <x:v>651526</x:v>
      </x:c>
      <x:c r="E16" s="22" t="n">
        <x:v>238692</x:v>
      </x:c>
      <x:c r="F16" s="22" t="n">
        <x:v>150625</x:v>
      </x:c>
      <x:c r="G16" s="22" t="n">
        <x:v>80664</x:v>
      </x:c>
      <x:c r="H16" s="22" t="n">
        <x:f>D16-SUM(E16:G16)</x:f>
        <x:v>181545</x:v>
      </x:c>
      <x:c r="I16" s="20" t="n">
        <x:f>IFERROR(H16/D16,0)</x:f>
        <x:v>0.2786458253392804</x:v>
      </x:c>
      <x:c r="J16" s="20" t="n">
        <x:f>IFERROR(SUM(E16:G16)/D16,0)</x:f>
        <x:v>0.7213541746607196</x:v>
      </x:c>
    </x:row>
    <x:row r="17">
      <x:c r="A17" t="str">
        <x:v>PLT-04</x:v>
      </x:c>
      <x:c r="B17" t="str">
        <x:v>Ottawa</x:v>
      </x:c>
      <x:c r="C17" t="n">
        <x:v>46054</x:v>
      </x:c>
      <x:c r="D17" s="22" t="n">
        <x:v>906525</x:v>
      </x:c>
      <x:c r="E17" s="22" t="n">
        <x:v>351012</x:v>
      </x:c>
      <x:c r="F17" s="22" t="n">
        <x:v>188121</x:v>
      </x:c>
      <x:c r="G17" s="22" t="n">
        <x:v>177900</x:v>
      </x:c>
      <x:c r="H17" s="22" t="n">
        <x:f>D17-SUM(E17:G17)</x:f>
        <x:v>189492</x:v>
      </x:c>
      <x:c r="I17" s="20" t="n">
        <x:f>IFERROR(H17/D17,0)</x:f>
        <x:v>0.20903119053528585</x:v>
      </x:c>
      <x:c r="J17" s="20" t="n">
        <x:f>IFERROR(SUM(E17:G17)/D17,0)</x:f>
        <x:v>0.7909688094647142</x:v>
      </x:c>
    </x:row>
    <x:row r="18">
      <x:c r="A18" t="str">
        <x:v>PLT-04</x:v>
      </x:c>
      <x:c r="B18" t="str">
        <x:v>Ottawa</x:v>
      </x:c>
      <x:c r="C18" t="n">
        <x:v>46082</x:v>
      </x:c>
      <x:c r="D18" s="22" t="n">
        <x:v>469238</x:v>
      </x:c>
      <x:c r="E18" s="22" t="n">
        <x:v>159998</x:v>
      </x:c>
      <x:c r="F18" s="22" t="n">
        <x:v>109512</x:v>
      </x:c>
      <x:c r="G18" s="22" t="n">
        <x:v>83728</x:v>
      </x:c>
      <x:c r="H18" s="22" t="n">
        <x:f>D18-SUM(E18:G18)</x:f>
        <x:v>116000</x:v>
      </x:c>
      <x:c r="I18" s="20" t="n">
        <x:f>IFERROR(H18/D18,0)</x:f>
        <x:v>0.24720930529922983</x:v>
      </x:c>
      <x:c r="J18" s="20" t="n">
        <x:f>IFERROR(SUM(E18:G18)/D18,0)</x:f>
        <x:v>0.7527906947007702</x:v>
      </x:c>
    </x:row>
    <x:row r="19">
      <x:c r="A19" t="str">
        <x:v>PLT-04</x:v>
      </x:c>
      <x:c r="B19" t="str">
        <x:v>Ottawa</x:v>
      </x:c>
      <x:c r="C19" t="n">
        <x:v>46113</x:v>
      </x:c>
      <x:c r="D19" s="22" t="n">
        <x:v>558880</x:v>
      </x:c>
      <x:c r="E19" s="22" t="n">
        <x:v>225842</x:v>
      </x:c>
      <x:c r="F19" s="22" t="n">
        <x:v>138272</x:v>
      </x:c>
      <x:c r="G19" s="22" t="n">
        <x:v>111303</x:v>
      </x:c>
      <x:c r="H19" s="22" t="n">
        <x:f>D19-SUM(E19:G19)</x:f>
        <x:v>83463</x:v>
      </x:c>
      <x:c r="I19" s="20" t="n">
        <x:f>IFERROR(H19/D19,0)</x:f>
        <x:v>0.14933975093043228</x:v>
      </x:c>
      <x:c r="J19" s="20" t="n">
        <x:f>IFERROR(SUM(E19:G19)/D19,0)</x:f>
        <x:v>0.8506602490695677</x:v>
      </x:c>
    </x:row>
    <x:row r="20">
      <x:c r="A20" t="str">
        <x:v>PLT-05</x:v>
      </x:c>
      <x:c r="B20" t="str">
        <x:v>Hamilton</x:v>
      </x:c>
      <x:c r="C20" t="n">
        <x:v>46023</x:v>
      </x:c>
      <x:c r="D20" s="22" t="n">
        <x:v>372724</x:v>
      </x:c>
      <x:c r="E20" s="22" t="n">
        <x:v>132501</x:v>
      </x:c>
      <x:c r="F20" s="22" t="n">
        <x:v>98262</x:v>
      </x:c>
      <x:c r="G20" s="22" t="n">
        <x:v>45179</x:v>
      </x:c>
      <x:c r="H20" s="22" t="n">
        <x:f>D20-SUM(E20:G20)</x:f>
        <x:v>96782</x:v>
      </x:c>
      <x:c r="I20" s="20" t="n">
        <x:f>IFERROR(H20/D20,0)</x:f>
        <x:v>0.2596613043431601</x:v>
      </x:c>
      <x:c r="J20" s="20" t="n">
        <x:f>IFERROR(SUM(E20:G20)/D20,0)</x:f>
        <x:v>0.74033869565684</x:v>
      </x:c>
    </x:row>
    <x:row r="21">
      <x:c r="A21" t="str">
        <x:v>PLT-05</x:v>
      </x:c>
      <x:c r="B21" t="str">
        <x:v>Hamilton</x:v>
      </x:c>
      <x:c r="C21" t="n">
        <x:v>46054</x:v>
      </x:c>
      <x:c r="D21" s="22" t="n">
        <x:v>731352</x:v>
      </x:c>
      <x:c r="E21" s="22" t="n">
        <x:v>245335</x:v>
      </x:c>
      <x:c r="F21" s="22" t="n">
        <x:v>180973</x:v>
      </x:c>
      <x:c r="G21" s="22" t="n">
        <x:v>90242</x:v>
      </x:c>
      <x:c r="H21" s="22" t="n">
        <x:f>D21-SUM(E21:G21)</x:f>
        <x:v>214802</x:v>
      </x:c>
      <x:c r="I21" s="20" t="n">
        <x:f>IFERROR(H21/D21,0)</x:f>
        <x:v>0.2937053566545248</x:v>
      </x:c>
      <x:c r="J21" s="20" t="n">
        <x:f>IFERROR(SUM(E21:G21)/D21,0)</x:f>
        <x:v>0.7062946433454752</x:v>
      </x:c>
    </x:row>
    <x:row r="22">
      <x:c r="A22" t="str">
        <x:v>PLT-05</x:v>
      </x:c>
      <x:c r="B22" t="str">
        <x:v>Hamilton</x:v>
      </x:c>
      <x:c r="C22" t="n">
        <x:v>46082</x:v>
      </x:c>
      <x:c r="D22" s="22" t="n">
        <x:v>389831</x:v>
      </x:c>
      <x:c r="E22" s="22" t="n">
        <x:v>144365</x:v>
      </x:c>
      <x:c r="F22" s="22" t="n">
        <x:v>85825</x:v>
      </x:c>
      <x:c r="G22" s="22" t="n">
        <x:v>60930</x:v>
      </x:c>
      <x:c r="H22" s="22" t="n">
        <x:f>D22-SUM(E22:G22)</x:f>
        <x:v>98711</x:v>
      </x:c>
      <x:c r="I22" s="20" t="n">
        <x:f>IFERROR(H22/D22,0)</x:f>
        <x:v>0.2532148546421398</x:v>
      </x:c>
      <x:c r="J22" s="20" t="n">
        <x:f>IFERROR(SUM(E22:G22)/D22,0)</x:f>
        <x:v>0.7467851453578602</x:v>
      </x:c>
    </x:row>
    <x:row r="23">
      <x:c r="A23" t="str">
        <x:v>PLT-05</x:v>
      </x:c>
      <x:c r="B23" t="str">
        <x:v>Hamilton</x:v>
      </x:c>
      <x:c r="C23" t="n">
        <x:v>46113</x:v>
      </x:c>
      <x:c r="D23" s="22" t="n">
        <x:v>757521</x:v>
      </x:c>
      <x:c r="E23" s="22" t="n">
        <x:v>286763</x:v>
      </x:c>
      <x:c r="F23" s="22" t="n">
        <x:v>192236</x:v>
      </x:c>
      <x:c r="G23" s="22" t="n">
        <x:v>126649</x:v>
      </x:c>
      <x:c r="H23" s="22" t="n">
        <x:f>D23-SUM(E23:G23)</x:f>
        <x:v>151873</x:v>
      </x:c>
      <x:c r="I23" s="20" t="n">
        <x:f>IFERROR(H23/D23,0)</x:f>
        <x:v>0.200486851189604</x:v>
      </x:c>
      <x:c r="J23" s="20" t="n">
        <x:f>IFERROR(SUM(E23:G23)/D23,0)</x:f>
        <x:v>0.799513148810396</x:v>
      </x:c>
    </x:row>
    <x:row r="24">
      <x:c r="A24" t="str">
        <x:v>PLT-06</x:v>
      </x:c>
      <x:c r="B24" t="str">
        <x:v>London</x:v>
      </x:c>
      <x:c r="C24" t="n">
        <x:v>46023</x:v>
      </x:c>
      <x:c r="D24" s="22" t="n">
        <x:v>648455</x:v>
      </x:c>
      <x:c r="E24" s="22" t="n">
        <x:v>233004</x:v>
      </x:c>
      <x:c r="F24" s="22" t="n">
        <x:v>154361</x:v>
      </x:c>
      <x:c r="G24" s="22" t="n">
        <x:v>112383</x:v>
      </x:c>
      <x:c r="H24" s="22" t="n">
        <x:f>D24-SUM(E24:G24)</x:f>
        <x:v>148707</x:v>
      </x:c>
      <x:c r="I24" s="20" t="n">
        <x:f>IFERROR(H24/D24,0)</x:f>
        <x:v>0.22932508809400806</x:v>
      </x:c>
      <x:c r="J24" s="20" t="n">
        <x:f>IFERROR(SUM(E24:G24)/D24,0)</x:f>
        <x:v>0.7706749119059919</x:v>
      </x:c>
    </x:row>
    <x:row r="25">
      <x:c r="A25" t="str">
        <x:v>PLT-06</x:v>
      </x:c>
      <x:c r="B25" t="str">
        <x:v>London</x:v>
      </x:c>
      <x:c r="C25" t="n">
        <x:v>46054</x:v>
      </x:c>
      <x:c r="D25" s="22" t="n">
        <x:v>731142</x:v>
      </x:c>
      <x:c r="E25" s="22" t="n">
        <x:v>263950</x:v>
      </x:c>
      <x:c r="F25" s="22" t="n">
        <x:v>183564</x:v>
      </x:c>
      <x:c r="G25" s="22" t="n">
        <x:v>126782</x:v>
      </x:c>
      <x:c r="H25" s="22" t="n">
        <x:f>D25-SUM(E25:G25)</x:f>
        <x:v>156846</x:v>
      </x:c>
      <x:c r="I25" s="20" t="n">
        <x:f>IFERROR(H25/D25,0)</x:f>
        <x:v>0.21452193965057403</x:v>
      </x:c>
      <x:c r="J25" s="20" t="n">
        <x:f>IFERROR(SUM(E25:G25)/D25,0)</x:f>
        <x:v>0.785478060349426</x:v>
      </x:c>
    </x:row>
    <x:row r="26">
      <x:c r="A26" t="str">
        <x:v>PLT-06</x:v>
      </x:c>
      <x:c r="B26" t="str">
        <x:v>London</x:v>
      </x:c>
      <x:c r="C26" t="n">
        <x:v>46082</x:v>
      </x:c>
      <x:c r="D26" s="22" t="n">
        <x:v>281556</x:v>
      </x:c>
      <x:c r="E26" s="22" t="n">
        <x:v>114514</x:v>
      </x:c>
      <x:c r="F26" s="22" t="n">
        <x:v>74946</x:v>
      </x:c>
      <x:c r="G26" s="22" t="n">
        <x:v>54108</x:v>
      </x:c>
      <x:c r="H26" s="22" t="n">
        <x:f>D26-SUM(E26:G26)</x:f>
        <x:v>37988</x:v>
      </x:c>
      <x:c r="I26" s="20" t="n">
        <x:f>IFERROR(H26/D26,0)</x:f>
        <x:v>0.13492164968958217</x:v>
      </x:c>
      <x:c r="J26" s="20" t="n">
        <x:f>IFERROR(SUM(E26:G26)/D26,0)</x:f>
        <x:v>0.8650783503104178</x:v>
      </x:c>
    </x:row>
    <x:row r="27">
      <x:c r="A27" t="str">
        <x:v>PLT-06</x:v>
      </x:c>
      <x:c r="B27" t="str">
        <x:v>London</x:v>
      </x:c>
      <x:c r="C27" t="n">
        <x:v>46113</x:v>
      </x:c>
      <x:c r="D27" s="22" t="n">
        <x:v>368010</x:v>
      </x:c>
      <x:c r="E27" s="22" t="n">
        <x:v>153306</x:v>
      </x:c>
      <x:c r="F27" s="22" t="n">
        <x:v>76594</x:v>
      </x:c>
      <x:c r="G27" s="22" t="n">
        <x:v>47431</x:v>
      </x:c>
      <x:c r="H27" s="22" t="n">
        <x:f>D27-SUM(E27:G27)</x:f>
        <x:v>90679</x:v>
      </x:c>
      <x:c r="I27" s="20" t="n">
        <x:f>IFERROR(H27/D27,0)</x:f>
        <x:v>0.24640363033613216</x:v>
      </x:c>
      <x:c r="J27" s="20" t="n">
        <x:f>IFERROR(SUM(E27:G27)/D27,0)</x:f>
        <x:v>0.7535963696638678</x:v>
      </x:c>
    </x:row>
    <x:row r="28">
      <x:c r="A28" t="str">
        <x:v>PLT-07</x:v>
      </x:c>
      <x:c r="B28" t="str">
        <x:v>Winnipeg</x:v>
      </x:c>
      <x:c r="C28" t="n">
        <x:v>46023</x:v>
      </x:c>
      <x:c r="D28" s="22" t="n">
        <x:v>892426</x:v>
      </x:c>
      <x:c r="E28" s="22" t="n">
        <x:v>343098</x:v>
      </x:c>
      <x:c r="F28" s="22" t="n">
        <x:v>244091</x:v>
      </x:c>
      <x:c r="G28" s="22" t="n">
        <x:v>170965</x:v>
      </x:c>
      <x:c r="H28" s="22" t="n">
        <x:f>D28-SUM(E28:G28)</x:f>
        <x:v>134272</x:v>
      </x:c>
      <x:c r="I28" s="20" t="n">
        <x:f>IFERROR(H28/D28,0)</x:f>
        <x:v>0.15045729281755574</x:v>
      </x:c>
      <x:c r="J28" s="20" t="n">
        <x:f>IFERROR(SUM(E28:G28)/D28,0)</x:f>
        <x:v>0.8495427071824443</x:v>
      </x:c>
    </x:row>
    <x:row r="29">
      <x:c r="A29" t="str">
        <x:v>PLT-07</x:v>
      </x:c>
      <x:c r="B29" t="str">
        <x:v>Winnipeg</x:v>
      </x:c>
      <x:c r="C29" t="n">
        <x:v>46054</x:v>
      </x:c>
      <x:c r="D29" s="22" t="n">
        <x:v>336787</x:v>
      </x:c>
      <x:c r="E29" s="22" t="n">
        <x:v>132323</x:v>
      </x:c>
      <x:c r="F29" s="22" t="n">
        <x:v>81002</x:v>
      </x:c>
      <x:c r="G29" s="22" t="n">
        <x:v>63008</x:v>
      </x:c>
      <x:c r="H29" s="22" t="n">
        <x:f>D29-SUM(E29:G29)</x:f>
        <x:v>60454</x:v>
      </x:c>
      <x:c r="I29" s="20" t="n">
        <x:f>IFERROR(H29/D29,0)</x:f>
        <x:v>0.17950217793442147</x:v>
      </x:c>
      <x:c r="J29" s="20" t="n">
        <x:f>IFERROR(SUM(E29:G29)/D29,0)</x:f>
        <x:v>0.8204978220655785</x:v>
      </x:c>
    </x:row>
    <x:row r="30">
      <x:c r="A30" t="str">
        <x:v>PLT-07</x:v>
      </x:c>
      <x:c r="B30" t="str">
        <x:v>Winnipeg</x:v>
      </x:c>
      <x:c r="C30" t="n">
        <x:v>46082</x:v>
      </x:c>
      <x:c r="D30" s="22" t="n">
        <x:v>955748</x:v>
      </x:c>
      <x:c r="E30" s="22" t="n">
        <x:v>412968</x:v>
      </x:c>
      <x:c r="F30" s="22" t="n">
        <x:v>187162</x:v>
      </x:c>
      <x:c r="G30" s="22" t="n">
        <x:v>180489</x:v>
      </x:c>
      <x:c r="H30" s="22" t="n">
        <x:f>D30-SUM(E30:G30)</x:f>
        <x:v>175129</x:v>
      </x:c>
      <x:c r="I30" s="20" t="n">
        <x:f>IFERROR(H30/D30,0)</x:f>
        <x:v>0.18323763167696924</x:v>
      </x:c>
      <x:c r="J30" s="20" t="n">
        <x:f>IFERROR(SUM(E30:G30)/D30,0)</x:f>
        <x:v>0.8167623683230307</x:v>
      </x:c>
    </x:row>
    <x:row r="31">
      <x:c r="A31" t="str">
        <x:v>PLT-07</x:v>
      </x:c>
      <x:c r="B31" t="str">
        <x:v>Winnipeg</x:v>
      </x:c>
      <x:c r="C31" t="n">
        <x:v>46113</x:v>
      </x:c>
      <x:c r="D31" s="22" t="n">
        <x:v>1083274</x:v>
      </x:c>
      <x:c r="E31" s="22" t="n">
        <x:v>396193</x:v>
      </x:c>
      <x:c r="F31" s="22" t="n">
        <x:v>292967</x:v>
      </x:c>
      <x:c r="G31" s="22" t="n">
        <x:v>187852</x:v>
      </x:c>
      <x:c r="H31" s="22" t="n">
        <x:f>D31-SUM(E31:G31)</x:f>
        <x:v>206262</x:v>
      </x:c>
      <x:c r="I31" s="20" t="n">
        <x:f>IFERROR(H31/D31,0)</x:f>
        <x:v>0.19040612070445703</x:v>
      </x:c>
      <x:c r="J31" s="20" t="n">
        <x:f>IFERROR(SUM(E31:G31)/D31,0)</x:f>
        <x:v>0.8095938792955429</x:v>
      </x:c>
    </x:row>
    <x:row r="32">
      <x:c r="A32" t="str">
        <x:v>PLT-08</x:v>
      </x:c>
      <x:c r="B32" t="str">
        <x:v>Calgary</x:v>
      </x:c>
      <x:c r="C32" t="n">
        <x:v>46023</x:v>
      </x:c>
      <x:c r="D32" s="22" t="n">
        <x:v>482600</x:v>
      </x:c>
      <x:c r="E32" s="22" t="n">
        <x:v>152215</x:v>
      </x:c>
      <x:c r="F32" s="22" t="n">
        <x:v>104135</x:v>
      </x:c>
      <x:c r="G32" s="22" t="n">
        <x:v>67135</x:v>
      </x:c>
      <x:c r="H32" s="22" t="n">
        <x:f>D32-SUM(E32:G32)</x:f>
        <x:v>159115</x:v>
      </x:c>
      <x:c r="I32" s="20" t="n">
        <x:f>IFERROR(H32/D32,0)</x:f>
        <x:v>0.3297036883547451</x:v>
      </x:c>
      <x:c r="J32" s="20" t="n">
        <x:f>IFERROR(SUM(E32:G32)/D32,0)</x:f>
        <x:v>0.6702963116452548</x:v>
      </x:c>
    </x:row>
    <x:row r="33">
      <x:c r="A33" t="str">
        <x:v>PLT-08</x:v>
      </x:c>
      <x:c r="B33" t="str">
        <x:v>Calgary</x:v>
      </x:c>
      <x:c r="C33" t="n">
        <x:v>46054</x:v>
      </x:c>
      <x:c r="D33" s="22" t="n">
        <x:v>541840</x:v>
      </x:c>
      <x:c r="E33" s="22" t="n">
        <x:v>220450</x:v>
      </x:c>
      <x:c r="F33" s="22" t="n">
        <x:v>124135</x:v>
      </x:c>
      <x:c r="G33" s="22" t="n">
        <x:v>92189</x:v>
      </x:c>
      <x:c r="H33" s="22" t="n">
        <x:f>D33-SUM(E33:G33)</x:f>
        <x:v>105066</x:v>
      </x:c>
      <x:c r="I33" s="20" t="n">
        <x:f>IFERROR(H33/D33,0)</x:f>
        <x:v>0.19390595009596928</x:v>
      </x:c>
      <x:c r="J33" s="20" t="n">
        <x:f>IFERROR(SUM(E33:G33)/D33,0)</x:f>
        <x:v>0.8060940499040307</x:v>
      </x:c>
    </x:row>
    <x:row r="34">
      <x:c r="A34" t="str">
        <x:v>PLT-08</x:v>
      </x:c>
      <x:c r="B34" t="str">
        <x:v>Calgary</x:v>
      </x:c>
      <x:c r="C34" t="n">
        <x:v>46082</x:v>
      </x:c>
      <x:c r="D34" s="22" t="n">
        <x:v>584179</x:v>
      </x:c>
      <x:c r="E34" s="22" t="n">
        <x:v>209970</x:v>
      </x:c>
      <x:c r="F34" s="22" t="n">
        <x:v>140877</x:v>
      </x:c>
      <x:c r="G34" s="22" t="n">
        <x:v>93359</x:v>
      </x:c>
      <x:c r="H34" s="22" t="n">
        <x:f>D34-SUM(E34:G34)</x:f>
        <x:v>139973</x:v>
      </x:c>
      <x:c r="I34" s="20" t="n">
        <x:f>IFERROR(H34/D34,0)</x:f>
        <x:v>0.23960635353205095</x:v>
      </x:c>
      <x:c r="J34" s="20" t="n">
        <x:f>IFERROR(SUM(E34:G34)/D34,0)</x:f>
        <x:v>0.760393646467949</x:v>
      </x:c>
    </x:row>
    <x:row r="35">
      <x:c r="A35" t="str">
        <x:v>PLT-08</x:v>
      </x:c>
      <x:c r="B35" t="str">
        <x:v>Calgary</x:v>
      </x:c>
      <x:c r="C35" t="n">
        <x:v>46113</x:v>
      </x:c>
      <x:c r="D35" s="22" t="n">
        <x:v>576267</x:v>
      </x:c>
      <x:c r="E35" s="22" t="n">
        <x:v>200045</x:v>
      </x:c>
      <x:c r="F35" s="22" t="n">
        <x:v>126616</x:v>
      </x:c>
      <x:c r="G35" s="22" t="n">
        <x:v>92855</x:v>
      </x:c>
      <x:c r="H35" s="22" t="n">
        <x:f>D35-SUM(E35:G35)</x:f>
        <x:v>156751</x:v>
      </x:c>
      <x:c r="I35" s="20" t="n">
        <x:f>IFERROR(H35/D35,0)</x:f>
        <x:v>0.2720110643156731</x:v>
      </x:c>
      <x:c r="J35" s="20" t="n">
        <x:f>IFERROR(SUM(E35:G35)/D35,0)</x:f>
        <x:v>0.7279889356843269</x:v>
      </x:c>
    </x:row>
    <x:row r="36">
      <x:c r="A36" t="str">
        <x:v>PLT-09</x:v>
      </x:c>
      <x:c r="B36" t="str">
        <x:v>Edmonton</x:v>
      </x:c>
      <x:c r="C36" t="n">
        <x:v>46023</x:v>
      </x:c>
      <x:c r="D36" s="22" t="n">
        <x:v>595776</x:v>
      </x:c>
      <x:c r="E36" s="22" t="n">
        <x:v>199026</x:v>
      </x:c>
      <x:c r="F36" s="22" t="n">
        <x:v>156290</x:v>
      </x:c>
      <x:c r="G36" s="22" t="n">
        <x:v>66928</x:v>
      </x:c>
      <x:c r="H36" s="22" t="n">
        <x:f>D36-SUM(E36:G36)</x:f>
        <x:v>173532</x:v>
      </x:c>
      <x:c r="I36" s="20" t="n">
        <x:f>IFERROR(H36/D36,0)</x:f>
        <x:v>0.29127054463422497</x:v>
      </x:c>
      <x:c r="J36" s="20" t="n">
        <x:f>IFERROR(SUM(E36:G36)/D36,0)</x:f>
        <x:v>0.708729455365775</x:v>
      </x:c>
    </x:row>
    <x:row r="37">
      <x:c r="A37" t="str">
        <x:v>PLT-09</x:v>
      </x:c>
      <x:c r="B37" t="str">
        <x:v>Edmonton</x:v>
      </x:c>
      <x:c r="C37" t="n">
        <x:v>46054</x:v>
      </x:c>
      <x:c r="D37" s="22" t="n">
        <x:v>513264</x:v>
      </x:c>
      <x:c r="E37" s="22" t="n">
        <x:v>176518</x:v>
      </x:c>
      <x:c r="F37" s="22" t="n">
        <x:v>124433</x:v>
      </x:c>
      <x:c r="G37" s="22" t="n">
        <x:v>61789</x:v>
      </x:c>
      <x:c r="H37" s="22" t="n">
        <x:f>D37-SUM(E37:G37)</x:f>
        <x:v>150524</x:v>
      </x:c>
      <x:c r="I37" s="20" t="n">
        <x:f>IFERROR(H37/D37,0)</x:f>
        <x:v>0.29326818167648616</x:v>
      </x:c>
      <x:c r="J37" s="20" t="n">
        <x:f>IFERROR(SUM(E37:G37)/D37,0)</x:f>
        <x:v>0.7067318183235138</x:v>
      </x:c>
    </x:row>
    <x:row r="38">
      <x:c r="A38" t="str">
        <x:v>PLT-09</x:v>
      </x:c>
      <x:c r="B38" t="str">
        <x:v>Edmonton</x:v>
      </x:c>
      <x:c r="C38" t="n">
        <x:v>46082</x:v>
      </x:c>
      <x:c r="D38" s="22" t="n">
        <x:v>1035728</x:v>
      </x:c>
      <x:c r="E38" s="22" t="n">
        <x:v>436049</x:v>
      </x:c>
      <x:c r="F38" s="22" t="n">
        <x:v>202832</x:v>
      </x:c>
      <x:c r="G38" s="22" t="n">
        <x:v>186636</x:v>
      </x:c>
      <x:c r="H38" s="22" t="n">
        <x:f>D38-SUM(E38:G38)</x:f>
        <x:v>210211</x:v>
      </x:c>
      <x:c r="I38" s="20" t="n">
        <x:f>IFERROR(H38/D38,0)</x:f>
        <x:v>0.20295965736177837</x:v>
      </x:c>
      <x:c r="J38" s="20" t="n">
        <x:f>IFERROR(SUM(E38:G38)/D38,0)</x:f>
        <x:v>0.7970403426382217</x:v>
      </x:c>
    </x:row>
    <x:row r="39">
      <x:c r="A39" t="str">
        <x:v>PLT-09</x:v>
      </x:c>
      <x:c r="B39" t="str">
        <x:v>Edmonton</x:v>
      </x:c>
      <x:c r="C39" t="n">
        <x:v>46113</x:v>
      </x:c>
      <x:c r="D39" s="22" t="n">
        <x:v>505600</x:v>
      </x:c>
      <x:c r="E39" s="22" t="n">
        <x:v>215875</x:v>
      </x:c>
      <x:c r="F39" s="22" t="n">
        <x:v>133457</x:v>
      </x:c>
      <x:c r="G39" s="22" t="n">
        <x:v>92891</x:v>
      </x:c>
      <x:c r="H39" s="22" t="n">
        <x:f>D39-SUM(E39:G39)</x:f>
        <x:v>63377</x:v>
      </x:c>
      <x:c r="I39" s="20" t="n">
        <x:f>IFERROR(H39/D39,0)</x:f>
        <x:v>0.12535007911392404</x:v>
      </x:c>
      <x:c r="J39" s="20" t="n">
        <x:f>IFERROR(SUM(E39:G39)/D39,0)</x:f>
        <x:v>0.874649920886076</x:v>
      </x:c>
    </x:row>
    <x:row r="40">
      <x:c r="A40" t="str">
        <x:v>PLT-10</x:v>
      </x:c>
      <x:c r="B40" t="str">
        <x:v>Vancouver</x:v>
      </x:c>
      <x:c r="C40" t="n">
        <x:v>46023</x:v>
      </x:c>
      <x:c r="D40" s="22" t="n">
        <x:v>1136635</x:v>
      </x:c>
      <x:c r="E40" s="22" t="n">
        <x:v>476141</x:v>
      </x:c>
      <x:c r="F40" s="22" t="n">
        <x:v>270012</x:v>
      </x:c>
      <x:c r="G40" s="22" t="n">
        <x:v>194201</x:v>
      </x:c>
      <x:c r="H40" s="22" t="n">
        <x:f>D40-SUM(E40:G40)</x:f>
        <x:v>196281</x:v>
      </x:c>
      <x:c r="I40" s="20" t="n">
        <x:f>IFERROR(H40/D40,0)</x:f>
        <x:v>0.17268604257303355</x:v>
      </x:c>
      <x:c r="J40" s="20" t="n">
        <x:f>IFERROR(SUM(E40:G40)/D40,0)</x:f>
        <x:v>0.8273139574269665</x:v>
      </x:c>
    </x:row>
    <x:row r="41">
      <x:c r="A41" t="str">
        <x:v>PLT-10</x:v>
      </x:c>
      <x:c r="B41" t="str">
        <x:v>Vancouver</x:v>
      </x:c>
      <x:c r="C41" t="n">
        <x:v>46054</x:v>
      </x:c>
      <x:c r="D41" s="22" t="n">
        <x:v>714780</x:v>
      </x:c>
      <x:c r="E41" s="22" t="n">
        <x:v>293669</x:v>
      </x:c>
      <x:c r="F41" s="22" t="n">
        <x:v>167432</x:v>
      </x:c>
      <x:c r="G41" s="22" t="n">
        <x:v>142608</x:v>
      </x:c>
      <x:c r="H41" s="22" t="n">
        <x:f>D41-SUM(E41:G41)</x:f>
        <x:v>111071</x:v>
      </x:c>
      <x:c r="I41" s="20" t="n">
        <x:f>IFERROR(H41/D41,0)</x:f>
        <x:v>0.15539186882677186</x:v>
      </x:c>
      <x:c r="J41" s="20" t="n">
        <x:f>IFERROR(SUM(E41:G41)/D41,0)</x:f>
        <x:v>0.8446081311732281</x:v>
      </x:c>
    </x:row>
    <x:row r="42">
      <x:c r="A42" t="str">
        <x:v>PLT-10</x:v>
      </x:c>
      <x:c r="B42" t="str">
        <x:v>Vancouver</x:v>
      </x:c>
      <x:c r="C42" t="n">
        <x:v>46082</x:v>
      </x:c>
      <x:c r="D42" s="22" t="n">
        <x:v>712170</x:v>
      </x:c>
      <x:c r="E42" s="22" t="n">
        <x:v>261572</x:v>
      </x:c>
      <x:c r="F42" s="22" t="n">
        <x:v>173477</x:v>
      </x:c>
      <x:c r="G42" s="22" t="n">
        <x:v>80803</x:v>
      </x:c>
      <x:c r="H42" s="22" t="n">
        <x:f>D42-SUM(E42:G42)</x:f>
        <x:v>196318</x:v>
      </x:c>
      <x:c r="I42" s="20" t="n">
        <x:f>IFERROR(H42/D42,0)</x:f>
        <x:v>0.2756617099849755</x:v>
      </x:c>
      <x:c r="J42" s="20" t="n">
        <x:f>IFERROR(SUM(E42:G42)/D42,0)</x:f>
        <x:v>0.7243382900150245</x:v>
      </x:c>
    </x:row>
    <x:row r="43">
      <x:c r="A43" t="str">
        <x:v>PLT-10</x:v>
      </x:c>
      <x:c r="B43" t="str">
        <x:v>Vancouver</x:v>
      </x:c>
      <x:c r="C43" t="n">
        <x:v>46113</x:v>
      </x:c>
      <x:c r="D43" s="22" t="n">
        <x:v>853920</x:v>
      </x:c>
      <x:c r="E43" s="22" t="n">
        <x:v>362265</x:v>
      </x:c>
      <x:c r="F43" s="22" t="n">
        <x:v>169800</x:v>
      </x:c>
      <x:c r="G43" s="22" t="n">
        <x:v>157640</x:v>
      </x:c>
      <x:c r="H43" s="22" t="n">
        <x:f>D43-SUM(E43:G43)</x:f>
        <x:v>164215</x:v>
      </x:c>
      <x:c r="I43" s="20" t="n">
        <x:f>IFERROR(H43/D43,0)</x:f>
        <x:v>0.19230724189619636</x:v>
      </x:c>
      <x:c r="J43" s="20" t="n">
        <x:f>IFERROR(SUM(E43:G43)/D43,0)</x:f>
        <x:v>0.8076927581038036</x:v>
      </x:c>
    </x:row>
    <x:row r="44">
      <x:c r="A44" t="str">
        <x:v>PLT-11</x:v>
      </x:c>
      <x:c r="B44" t="str">
        <x:v>Halifax</x:v>
      </x:c>
      <x:c r="C44" t="n">
        <x:v>46023</x:v>
      </x:c>
      <x:c r="D44" s="22" t="n">
        <x:v>1256120</x:v>
      </x:c>
      <x:c r="E44" s="22" t="n">
        <x:v>528745</x:v>
      </x:c>
      <x:c r="F44" s="22" t="n">
        <x:v>246560</x:v>
      </x:c>
      <x:c r="G44" s="22" t="n">
        <x:v>186999</x:v>
      </x:c>
      <x:c r="H44" s="22" t="n">
        <x:f>D44-SUM(E44:G44)</x:f>
        <x:v>293816</x:v>
      </x:c>
      <x:c r="I44" s="20" t="n">
        <x:f>IFERROR(H44/D44,0)</x:f>
        <x:v>0.23390758844696366</x:v>
      </x:c>
      <x:c r="J44" s="20" t="n">
        <x:f>IFERROR(SUM(E44:G44)/D44,0)</x:f>
        <x:v>0.7660924115530363</x:v>
      </x:c>
    </x:row>
    <x:row r="45">
      <x:c r="A45" t="str">
        <x:v>PLT-11</x:v>
      </x:c>
      <x:c r="B45" t="str">
        <x:v>Halifax</x:v>
      </x:c>
      <x:c r="C45" t="n">
        <x:v>46054</x:v>
      </x:c>
      <x:c r="D45" s="22" t="n">
        <x:v>367241</x:v>
      </x:c>
      <x:c r="E45" s="22" t="n">
        <x:v>141549</x:v>
      </x:c>
      <x:c r="F45" s="22" t="n">
        <x:v>73773</x:v>
      </x:c>
      <x:c r="G45" s="22" t="n">
        <x:v>47735</x:v>
      </x:c>
      <x:c r="H45" s="22" t="n">
        <x:f>D45-SUM(E45:G45)</x:f>
        <x:v>104184</x:v>
      </x:c>
      <x:c r="I45" s="20" t="n">
        <x:f>IFERROR(H45/D45,0)</x:f>
        <x:v>0.2836938141438456</x:v>
      </x:c>
      <x:c r="J45" s="20" t="n">
        <x:f>IFERROR(SUM(E45:G45)/D45,0)</x:f>
        <x:v>0.7163061858561544</x:v>
      </x:c>
    </x:row>
    <x:row r="46">
      <x:c r="A46" t="str">
        <x:v>PLT-11</x:v>
      </x:c>
      <x:c r="B46" t="str">
        <x:v>Halifax</x:v>
      </x:c>
      <x:c r="C46" t="n">
        <x:v>46082</x:v>
      </x:c>
      <x:c r="D46" s="22" t="n">
        <x:v>726848</x:v>
      </x:c>
      <x:c r="E46" s="22" t="n">
        <x:v>263383</x:v>
      </x:c>
      <x:c r="F46" s="22" t="n">
        <x:v>194831</x:v>
      </x:c>
      <x:c r="G46" s="22" t="n">
        <x:v>90339</x:v>
      </x:c>
      <x:c r="H46" s="22" t="n">
        <x:f>D46-SUM(E46:G46)</x:f>
        <x:v>178295</x:v>
      </x:c>
      <x:c r="I46" s="20" t="n">
        <x:f>IFERROR(H46/D46,0)</x:f>
        <x:v>0.24529887954565466</x:v>
      </x:c>
      <x:c r="J46" s="20" t="n">
        <x:f>IFERROR(SUM(E46:G46)/D46,0)</x:f>
        <x:v>0.7547011204543453</x:v>
      </x:c>
    </x:row>
    <x:row r="47">
      <x:c r="A47" t="str">
        <x:v>PLT-11</x:v>
      </x:c>
      <x:c r="B47" t="str">
        <x:v>Halifax</x:v>
      </x:c>
      <x:c r="C47" t="n">
        <x:v>46113</x:v>
      </x:c>
      <x:c r="D47" s="22" t="n">
        <x:v>750360</x:v>
      </x:c>
      <x:c r="E47" s="22" t="n">
        <x:v>237205</x:v>
      </x:c>
      <x:c r="F47" s="22" t="n">
        <x:v>150787</x:v>
      </x:c>
      <x:c r="G47" s="22" t="n">
        <x:v>98713</x:v>
      </x:c>
      <x:c r="H47" s="22" t="n">
        <x:f>D47-SUM(E47:G47)</x:f>
        <x:v>263655</x:v>
      </x:c>
      <x:c r="I47" s="20" t="n">
        <x:f>IFERROR(H47/D47,0)</x:f>
        <x:v>0.35137134175595713</x:v>
      </x:c>
      <x:c r="J47" s="20" t="n">
        <x:f>IFERROR(SUM(E47:G47)/D47,0)</x:f>
        <x:v>0.6486286582440428</x:v>
      </x:c>
    </x:row>
    <x:row r="48">
      <x:c r="A48" t="str">
        <x:v>PLT-12</x:v>
      </x:c>
      <x:c r="B48" t="str">
        <x:v>Saskatoon</x:v>
      </x:c>
      <x:c r="C48" t="n">
        <x:v>46023</x:v>
      </x:c>
      <x:c r="D48" s="22" t="n">
        <x:v>959282</x:v>
      </x:c>
      <x:c r="E48" s="22" t="n">
        <x:v>317899</x:v>
      </x:c>
      <x:c r="F48" s="22" t="n">
        <x:v>255159</x:v>
      </x:c>
      <x:c r="G48" s="22" t="n">
        <x:v>173027</x:v>
      </x:c>
      <x:c r="H48" s="22" t="n">
        <x:f>D48-SUM(E48:G48)</x:f>
        <x:v>213197</x:v>
      </x:c>
      <x:c r="I48" s="20" t="n">
        <x:f>IFERROR(H48/D48,0)</x:f>
        <x:v>0.2222464301425441</x:v>
      </x:c>
      <x:c r="J48" s="20" t="n">
        <x:f>IFERROR(SUM(E48:G48)/D48,0)</x:f>
        <x:v>0.7777535698574559</x:v>
      </x:c>
    </x:row>
    <x:row r="49">
      <x:c r="A49" t="str">
        <x:v>PLT-12</x:v>
      </x:c>
      <x:c r="B49" t="str">
        <x:v>Saskatoon</x:v>
      </x:c>
      <x:c r="C49" t="n">
        <x:v>46054</x:v>
      </x:c>
      <x:c r="D49" s="22" t="n">
        <x:v>443592</x:v>
      </x:c>
      <x:c r="E49" s="22" t="n">
        <x:v>146837</x:v>
      </x:c>
      <x:c r="F49" s="22" t="n">
        <x:v>107417</x:v>
      </x:c>
      <x:c r="G49" s="22" t="n">
        <x:v>67547</x:v>
      </x:c>
      <x:c r="H49" s="22" t="n">
        <x:f>D49-SUM(E49:G49)</x:f>
        <x:v>121791</x:v>
      </x:c>
      <x:c r="I49" s="20" t="n">
        <x:f>IFERROR(H49/D49,0)</x:f>
        <x:v>0.2745563490775307</x:v>
      </x:c>
      <x:c r="J49" s="20" t="n">
        <x:f>IFERROR(SUM(E49:G49)/D49,0)</x:f>
        <x:v>0.7254436509224693</x:v>
      </x:c>
    </x:row>
    <x:row r="50">
      <x:c r="A50" t="str">
        <x:v>PLT-12</x:v>
      </x:c>
      <x:c r="B50" t="str">
        <x:v>Saskatoon</x:v>
      </x:c>
      <x:c r="C50" t="n">
        <x:v>46082</x:v>
      </x:c>
      <x:c r="D50" s="22" t="n">
        <x:v>388123</x:v>
      </x:c>
      <x:c r="E50" s="22" t="n">
        <x:v>131506</x:v>
      </x:c>
      <x:c r="F50" s="22" t="n">
        <x:v>84995</x:v>
      </x:c>
      <x:c r="G50" s="22" t="n">
        <x:v>73687</x:v>
      </x:c>
      <x:c r="H50" s="22" t="n">
        <x:f>D50-SUM(E50:G50)</x:f>
        <x:v>97935</x:v>
      </x:c>
      <x:c r="I50" s="20" t="n">
        <x:f>IFERROR(H50/D50,0)</x:f>
        <x:v>0.2523298026656498</x:v>
      </x:c>
      <x:c r="J50" s="20" t="n">
        <x:f>IFERROR(SUM(E50:G50)/D50,0)</x:f>
        <x:v>0.7476701973343501</x:v>
      </x:c>
    </x:row>
    <x:row r="51">
      <x:c r="A51" t="str">
        <x:v>PLT-12</x:v>
      </x:c>
      <x:c r="B51" t="str">
        <x:v>Saskatoon</x:v>
      </x:c>
      <x:c r="C51" t="n">
        <x:v>46113</x:v>
      </x:c>
      <x:c r="D51" s="22" t="n">
        <x:v>801361</x:v>
      </x:c>
      <x:c r="E51" s="22" t="n">
        <x:v>320021</x:v>
      </x:c>
      <x:c r="F51" s="22" t="n">
        <x:v>163680</x:v>
      </x:c>
      <x:c r="G51" s="22" t="n">
        <x:v>101182</x:v>
      </x:c>
      <x:c r="H51" s="22" t="n">
        <x:f>D51-SUM(E51:G51)</x:f>
        <x:v>216478</x:v>
      </x:c>
      <x:c r="I51" s="20" t="n">
        <x:f>IFERROR(H51/D51,0)</x:f>
        <x:v>0.27013792785024476</x:v>
      </x:c>
      <x:c r="J51" s="20" t="n">
        <x:f>IFERROR(SUM(E51:G51)/D51,0)</x:f>
        <x:v>0.7298620721497552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6" customHeight="1">
      <x:c r="A1" s="97" t="str">
        <x:v>WORKFORCE | Staffing &amp; exception monitoring</x:v>
      </x:c>
      <x:c r="B1" s="97"/>
      <x:c r="C1" s="97"/>
      <x:c r="D1" s="97"/>
      <x:c r="E1" s="97"/>
      <x:c r="F1" s="97"/>
      <x:c r="G1" s="97"/>
      <x:c r="H1" s="97"/>
      <x:c r="I1" s="97"/>
    </x:row>
    <x:row r="3" ht="26" customHeight="1">
      <x:c r="A3" s="99" t="str">
        <x:v>Plant ID</x:v>
      </x:c>
      <x:c r="B3" s="99" t="str">
        <x:v>Facility</x:v>
      </x:c>
      <x:c r="C3" s="99" t="str">
        <x:v>Month</x:v>
      </x:c>
      <x:c r="D3" s="99" t="str">
        <x:v>Shift</x:v>
      </x:c>
      <x:c r="E3" s="99" t="str">
        <x:v>Scheduled</x:v>
      </x:c>
      <x:c r="F3" s="99" t="str">
        <x:v>Absent</x:v>
      </x:c>
      <x:c r="G3" s="99" t="str">
        <x:v>Overtime hours</x:v>
      </x:c>
      <x:c r="H3" s="99" t="str">
        <x:v>Coverage %</x:v>
      </x:c>
      <x:c r="I3" s="99" t="str">
        <x:v>Flag</x:v>
      </x:c>
    </x:row>
    <x:row r="4">
      <x:c r="A4" t="str">
        <x:v>PLT-01</x:v>
      </x:c>
      <x:c r="B4" t="str">
        <x:v>Montréal</x:v>
      </x:c>
      <x:c r="C4" t="n">
        <x:v>46023</x:v>
      </x:c>
      <x:c r="D4" t="str">
        <x:v>Day</x:v>
      </x:c>
      <x:c r="E4" t="n">
        <x:v>32</x:v>
      </x:c>
      <x:c r="F4" t="n">
        <x:v>0</x:v>
      </x:c>
      <x:c r="G4" t="n">
        <x:v>15</x:v>
      </x:c>
      <x:c r="H4" s="20" t="n">
        <x:f>IFERROR((E4-F4)/E4,0)</x:f>
        <x:v>1</x:v>
      </x:c>
      <x:c r="I4" t="str">
        <x:f>IF(H4&lt;0.9,"ESCALATE",IF(G4&gt;20,"WATCH","OK"))</x:f>
        <x:v>OK</x:v>
      </x:c>
    </x:row>
    <x:row r="5">
      <x:c r="A5" t="str">
        <x:v>PLT-01</x:v>
      </x:c>
      <x:c r="B5" t="str">
        <x:v>Montréal</x:v>
      </x:c>
      <x:c r="C5" t="n">
        <x:v>46023</x:v>
      </x:c>
      <x:c r="D5" t="str">
        <x:v>Evening</x:v>
      </x:c>
      <x:c r="E5" t="n">
        <x:v>35</x:v>
      </x:c>
      <x:c r="F5" t="n">
        <x:v>0</x:v>
      </x:c>
      <x:c r="G5" t="n">
        <x:v>28</x:v>
      </x:c>
      <x:c r="H5" s="20" t="n">
        <x:f>IFERROR((E5-F5)/E5,0)</x:f>
        <x:v>1</x:v>
      </x:c>
      <x:c r="I5" t="str">
        <x:f>IF(H5&lt;0.9,"ESCALATE",IF(G5&gt;20,"WATCH","OK"))</x:f>
        <x:v>WATCH</x:v>
      </x:c>
    </x:row>
    <x:row r="6">
      <x:c r="A6" t="str">
        <x:v>PLT-01</x:v>
      </x:c>
      <x:c r="B6" t="str">
        <x:v>Montréal</x:v>
      </x:c>
      <x:c r="C6" t="n">
        <x:v>46023</x:v>
      </x:c>
      <x:c r="D6" t="str">
        <x:v>Night</x:v>
      </x:c>
      <x:c r="E6" t="n">
        <x:v>18</x:v>
      </x:c>
      <x:c r="F6" t="n">
        <x:v>1</x:v>
      </x:c>
      <x:c r="G6" t="n">
        <x:v>20</x:v>
      </x:c>
      <x:c r="H6" s="20" t="n">
        <x:f>IFERROR((E6-F6)/E6,0)</x:f>
        <x:v>0.9444444444444444</x:v>
      </x:c>
      <x:c r="I6" t="str">
        <x:f>IF(H6&lt;0.9,"ESCALATE",IF(G6&gt;20,"WATCH","OK"))</x:f>
        <x:v>OK</x:v>
      </x:c>
    </x:row>
    <x:row r="7">
      <x:c r="A7" t="str">
        <x:v>PLT-01</x:v>
      </x:c>
      <x:c r="B7" t="str">
        <x:v>Montréal</x:v>
      </x:c>
      <x:c r="C7" t="n">
        <x:v>46054</x:v>
      </x:c>
      <x:c r="D7" t="str">
        <x:v>Day</x:v>
      </x:c>
      <x:c r="E7" t="n">
        <x:v>27</x:v>
      </x:c>
      <x:c r="F7" t="n">
        <x:v>0</x:v>
      </x:c>
      <x:c r="G7" t="n">
        <x:v>19</x:v>
      </x:c>
      <x:c r="H7" s="20" t="n">
        <x:f>IFERROR((E7-F7)/E7,0)</x:f>
        <x:v>1</x:v>
      </x:c>
      <x:c r="I7" t="str">
        <x:f>IF(H7&lt;0.9,"ESCALATE",IF(G7&gt;20,"WATCH","OK"))</x:f>
        <x:v>OK</x:v>
      </x:c>
    </x:row>
    <x:row r="8">
      <x:c r="A8" t="str">
        <x:v>PLT-01</x:v>
      </x:c>
      <x:c r="B8" t="str">
        <x:v>Montréal</x:v>
      </x:c>
      <x:c r="C8" t="n">
        <x:v>46054</x:v>
      </x:c>
      <x:c r="D8" t="str">
        <x:v>Evening</x:v>
      </x:c>
      <x:c r="E8" t="n">
        <x:v>26</x:v>
      </x:c>
      <x:c r="F8" t="n">
        <x:v>1</x:v>
      </x:c>
      <x:c r="G8" t="n">
        <x:v>6</x:v>
      </x:c>
      <x:c r="H8" s="20" t="n">
        <x:f>IFERROR((E8-F8)/E8,0)</x:f>
        <x:v>0.9615384615384616</x:v>
      </x:c>
      <x:c r="I8" t="str">
        <x:f>IF(H8&lt;0.9,"ESCALATE",IF(G8&gt;20,"WATCH","OK"))</x:f>
        <x:v>OK</x:v>
      </x:c>
    </x:row>
    <x:row r="9">
      <x:c r="A9" t="str">
        <x:v>PLT-01</x:v>
      </x:c>
      <x:c r="B9" t="str">
        <x:v>Montréal</x:v>
      </x:c>
      <x:c r="C9" t="n">
        <x:v>46054</x:v>
      </x:c>
      <x:c r="D9" t="str">
        <x:v>Night</x:v>
      </x:c>
      <x:c r="E9" t="n">
        <x:v>35</x:v>
      </x:c>
      <x:c r="F9" t="n">
        <x:v>0</x:v>
      </x:c>
      <x:c r="G9" t="n">
        <x:v>26</x:v>
      </x:c>
      <x:c r="H9" s="20" t="n">
        <x:f>IFERROR((E9-F9)/E9,0)</x:f>
        <x:v>1</x:v>
      </x:c>
      <x:c r="I9" t="str">
        <x:f>IF(H9&lt;0.9,"ESCALATE",IF(G9&gt;20,"WATCH","OK"))</x:f>
        <x:v>WATCH</x:v>
      </x:c>
    </x:row>
    <x:row r="10">
      <x:c r="A10" t="str">
        <x:v>PLT-01</x:v>
      </x:c>
      <x:c r="B10" t="str">
        <x:v>Montréal</x:v>
      </x:c>
      <x:c r="C10" t="n">
        <x:v>46082</x:v>
      </x:c>
      <x:c r="D10" t="str">
        <x:v>Day</x:v>
      </x:c>
      <x:c r="E10" t="n">
        <x:v>16</x:v>
      </x:c>
      <x:c r="F10" t="n">
        <x:v>4</x:v>
      </x:c>
      <x:c r="G10" t="n">
        <x:v>26</x:v>
      </x:c>
      <x:c r="H10" s="20" t="n">
        <x:f>IFERROR((E10-F10)/E10,0)</x:f>
        <x:v>0.75</x:v>
      </x:c>
      <x:c r="I10" t="str">
        <x:f>IF(H10&lt;0.9,"ESCALATE",IF(G10&gt;20,"WATCH","OK"))</x:f>
        <x:v>ESCALATE</x:v>
      </x:c>
    </x:row>
    <x:row r="11">
      <x:c r="A11" t="str">
        <x:v>PLT-01</x:v>
      </x:c>
      <x:c r="B11" t="str">
        <x:v>Montréal</x:v>
      </x:c>
      <x:c r="C11" t="n">
        <x:v>46082</x:v>
      </x:c>
      <x:c r="D11" t="str">
        <x:v>Evening</x:v>
      </x:c>
      <x:c r="E11" t="n">
        <x:v>33</x:v>
      </x:c>
      <x:c r="F11" t="n">
        <x:v>0</x:v>
      </x:c>
      <x:c r="G11" t="n">
        <x:v>15</x:v>
      </x:c>
      <x:c r="H11" s="20" t="n">
        <x:f>IFERROR((E11-F11)/E11,0)</x:f>
        <x:v>1</x:v>
      </x:c>
      <x:c r="I11" t="str">
        <x:f>IF(H11&lt;0.9,"ESCALATE",IF(G11&gt;20,"WATCH","OK"))</x:f>
        <x:v>OK</x:v>
      </x:c>
    </x:row>
    <x:row r="12">
      <x:c r="A12" t="str">
        <x:v>PLT-01</x:v>
      </x:c>
      <x:c r="B12" t="str">
        <x:v>Montréal</x:v>
      </x:c>
      <x:c r="C12" t="n">
        <x:v>46082</x:v>
      </x:c>
      <x:c r="D12" t="str">
        <x:v>Night</x:v>
      </x:c>
      <x:c r="E12" t="n">
        <x:v>21</x:v>
      </x:c>
      <x:c r="F12" t="n">
        <x:v>3</x:v>
      </x:c>
      <x:c r="G12" t="n">
        <x:v>23</x:v>
      </x:c>
      <x:c r="H12" s="20" t="n">
        <x:f>IFERROR((E12-F12)/E12,0)</x:f>
        <x:v>0.8571428571428571</x:v>
      </x:c>
      <x:c r="I12" t="str">
        <x:f>IF(H12&lt;0.9,"ESCALATE",IF(G12&gt;20,"WATCH","OK"))</x:f>
        <x:v>ESCALATE</x:v>
      </x:c>
    </x:row>
    <x:row r="13">
      <x:c r="A13" t="str">
        <x:v>PLT-01</x:v>
      </x:c>
      <x:c r="B13" t="str">
        <x:v>Montréal</x:v>
      </x:c>
      <x:c r="C13" t="n">
        <x:v>46113</x:v>
      </x:c>
      <x:c r="D13" t="str">
        <x:v>Day</x:v>
      </x:c>
      <x:c r="E13" t="n">
        <x:v>21</x:v>
      </x:c>
      <x:c r="F13" t="n">
        <x:v>0</x:v>
      </x:c>
      <x:c r="G13" t="n">
        <x:v>15</x:v>
      </x:c>
      <x:c r="H13" s="20" t="n">
        <x:f>IFERROR((E13-F13)/E13,0)</x:f>
        <x:v>1</x:v>
      </x:c>
      <x:c r="I13" t="str">
        <x:f>IF(H13&lt;0.9,"ESCALATE",IF(G13&gt;20,"WATCH","OK"))</x:f>
        <x:v>OK</x:v>
      </x:c>
    </x:row>
    <x:row r="14">
      <x:c r="A14" t="str">
        <x:v>PLT-01</x:v>
      </x:c>
      <x:c r="B14" t="str">
        <x:v>Montréal</x:v>
      </x:c>
      <x:c r="C14" t="n">
        <x:v>46113</x:v>
      </x:c>
      <x:c r="D14" t="str">
        <x:v>Evening</x:v>
      </x:c>
      <x:c r="E14" t="n">
        <x:v>31</x:v>
      </x:c>
      <x:c r="F14" t="n">
        <x:v>4</x:v>
      </x:c>
      <x:c r="G14" t="n">
        <x:v>9</x:v>
      </x:c>
      <x:c r="H14" s="20" t="n">
        <x:f>IFERROR((E14-F14)/E14,0)</x:f>
        <x:v>0.8709677419354839</x:v>
      </x:c>
      <x:c r="I14" t="str">
        <x:f>IF(H14&lt;0.9,"ESCALATE",IF(G14&gt;20,"WATCH","OK"))</x:f>
        <x:v>ESCALATE</x:v>
      </x:c>
    </x:row>
    <x:row r="15">
      <x:c r="A15" t="str">
        <x:v>PLT-01</x:v>
      </x:c>
      <x:c r="B15" t="str">
        <x:v>Montréal</x:v>
      </x:c>
      <x:c r="C15" t="n">
        <x:v>46113</x:v>
      </x:c>
      <x:c r="D15" t="str">
        <x:v>Night</x:v>
      </x:c>
      <x:c r="E15" t="n">
        <x:v>29</x:v>
      </x:c>
      <x:c r="F15" t="n">
        <x:v>2</x:v>
      </x:c>
      <x:c r="G15" t="n">
        <x:v>7</x:v>
      </x:c>
      <x:c r="H15" s="20" t="n">
        <x:f>IFERROR((E15-F15)/E15,0)</x:f>
        <x:v>0.9310344827586207</x:v>
      </x:c>
      <x:c r="I15" t="str">
        <x:f>IF(H15&lt;0.9,"ESCALATE",IF(G15&gt;20,"WATCH","OK"))</x:f>
        <x:v>OK</x:v>
      </x:c>
    </x:row>
    <x:row r="16">
      <x:c r="A16" t="str">
        <x:v>PLT-02</x:v>
      </x:c>
      <x:c r="B16" t="str">
        <x:v>Québec City</x:v>
      </x:c>
      <x:c r="C16" t="n">
        <x:v>46023</x:v>
      </x:c>
      <x:c r="D16" t="str">
        <x:v>Day</x:v>
      </x:c>
      <x:c r="E16" t="n">
        <x:v>20</x:v>
      </x:c>
      <x:c r="F16" t="n">
        <x:v>5</x:v>
      </x:c>
      <x:c r="G16" t="n">
        <x:v>25</x:v>
      </x:c>
      <x:c r="H16" s="20" t="n">
        <x:f>IFERROR((E16-F16)/E16,0)</x:f>
        <x:v>0.75</x:v>
      </x:c>
      <x:c r="I16" t="str">
        <x:f>IF(H16&lt;0.9,"ESCALATE",IF(G16&gt;20,"WATCH","OK"))</x:f>
        <x:v>ESCALATE</x:v>
      </x:c>
    </x:row>
    <x:row r="17">
      <x:c r="A17" t="str">
        <x:v>PLT-02</x:v>
      </x:c>
      <x:c r="B17" t="str">
        <x:v>Québec City</x:v>
      </x:c>
      <x:c r="C17" t="n">
        <x:v>46023</x:v>
      </x:c>
      <x:c r="D17" t="str">
        <x:v>Evening</x:v>
      </x:c>
      <x:c r="E17" t="n">
        <x:v>23</x:v>
      </x:c>
      <x:c r="F17" t="n">
        <x:v>2</x:v>
      </x:c>
      <x:c r="G17" t="n">
        <x:v>9</x:v>
      </x:c>
      <x:c r="H17" s="20" t="n">
        <x:f>IFERROR((E17-F17)/E17,0)</x:f>
        <x:v>0.9130434782608695</x:v>
      </x:c>
      <x:c r="I17" t="str">
        <x:f>IF(H17&lt;0.9,"ESCALATE",IF(G17&gt;20,"WATCH","OK"))</x:f>
        <x:v>OK</x:v>
      </x:c>
    </x:row>
    <x:row r="18">
      <x:c r="A18" t="str">
        <x:v>PLT-02</x:v>
      </x:c>
      <x:c r="B18" t="str">
        <x:v>Québec City</x:v>
      </x:c>
      <x:c r="C18" t="n">
        <x:v>46023</x:v>
      </x:c>
      <x:c r="D18" t="str">
        <x:v>Night</x:v>
      </x:c>
      <x:c r="E18" t="n">
        <x:v>22</x:v>
      </x:c>
      <x:c r="F18" t="n">
        <x:v>3</x:v>
      </x:c>
      <x:c r="G18" t="n">
        <x:v>14</x:v>
      </x:c>
      <x:c r="H18" s="20" t="n">
        <x:f>IFERROR((E18-F18)/E18,0)</x:f>
        <x:v>0.8636363636363636</x:v>
      </x:c>
      <x:c r="I18" t="str">
        <x:f>IF(H18&lt;0.9,"ESCALATE",IF(G18&gt;20,"WATCH","OK"))</x:f>
        <x:v>ESCALATE</x:v>
      </x:c>
    </x:row>
    <x:row r="19">
      <x:c r="A19" t="str">
        <x:v>PLT-02</x:v>
      </x:c>
      <x:c r="B19" t="str">
        <x:v>Québec City</x:v>
      </x:c>
      <x:c r="C19" t="n">
        <x:v>46054</x:v>
      </x:c>
      <x:c r="D19" t="str">
        <x:v>Day</x:v>
      </x:c>
      <x:c r="E19" t="n">
        <x:v>31</x:v>
      </x:c>
      <x:c r="F19" t="n">
        <x:v>0</x:v>
      </x:c>
      <x:c r="G19" t="n">
        <x:v>12</x:v>
      </x:c>
      <x:c r="H19" s="20" t="n">
        <x:f>IFERROR((E19-F19)/E19,0)</x:f>
        <x:v>1</x:v>
      </x:c>
      <x:c r="I19" t="str">
        <x:f>IF(H19&lt;0.9,"ESCALATE",IF(G19&gt;20,"WATCH","OK"))</x:f>
        <x:v>OK</x:v>
      </x:c>
    </x:row>
    <x:row r="20">
      <x:c r="A20" t="str">
        <x:v>PLT-02</x:v>
      </x:c>
      <x:c r="B20" t="str">
        <x:v>Québec City</x:v>
      </x:c>
      <x:c r="C20" t="n">
        <x:v>46054</x:v>
      </x:c>
      <x:c r="D20" t="str">
        <x:v>Evening</x:v>
      </x:c>
      <x:c r="E20" t="n">
        <x:v>27</x:v>
      </x:c>
      <x:c r="F20" t="n">
        <x:v>3</x:v>
      </x:c>
      <x:c r="G20" t="n">
        <x:v>20</x:v>
      </x:c>
      <x:c r="H20" s="20" t="n">
        <x:f>IFERROR((E20-F20)/E20,0)</x:f>
        <x:v>0.8888888888888888</x:v>
      </x:c>
      <x:c r="I20" t="str">
        <x:f>IF(H20&lt;0.9,"ESCALATE",IF(G20&gt;20,"WATCH","OK"))</x:f>
        <x:v>ESCALATE</x:v>
      </x:c>
    </x:row>
    <x:row r="21">
      <x:c r="A21" t="str">
        <x:v>PLT-02</x:v>
      </x:c>
      <x:c r="B21" t="str">
        <x:v>Québec City</x:v>
      </x:c>
      <x:c r="C21" t="n">
        <x:v>46054</x:v>
      </x:c>
      <x:c r="D21" t="str">
        <x:v>Night</x:v>
      </x:c>
      <x:c r="E21" t="n">
        <x:v>25</x:v>
      </x:c>
      <x:c r="F21" t="n">
        <x:v>4</x:v>
      </x:c>
      <x:c r="G21" t="n">
        <x:v>11</x:v>
      </x:c>
      <x:c r="H21" s="20" t="n">
        <x:f>IFERROR((E21-F21)/E21,0)</x:f>
        <x:v>0.84</x:v>
      </x:c>
      <x:c r="I21" t="str">
        <x:f>IF(H21&lt;0.9,"ESCALATE",IF(G21&gt;20,"WATCH","OK"))</x:f>
        <x:v>ESCALATE</x:v>
      </x:c>
    </x:row>
    <x:row r="22">
      <x:c r="A22" t="str">
        <x:v>PLT-02</x:v>
      </x:c>
      <x:c r="B22" t="str">
        <x:v>Québec City</x:v>
      </x:c>
      <x:c r="C22" t="n">
        <x:v>46082</x:v>
      </x:c>
      <x:c r="D22" t="str">
        <x:v>Day</x:v>
      </x:c>
      <x:c r="E22" t="n">
        <x:v>32</x:v>
      </x:c>
      <x:c r="F22" t="n">
        <x:v>4</x:v>
      </x:c>
      <x:c r="G22" t="n">
        <x:v>2</x:v>
      </x:c>
      <x:c r="H22" s="20" t="n">
        <x:f>IFERROR((E22-F22)/E22,0)</x:f>
        <x:v>0.875</x:v>
      </x:c>
      <x:c r="I22" t="str">
        <x:f>IF(H22&lt;0.9,"ESCALATE",IF(G22&gt;20,"WATCH","OK"))</x:f>
        <x:v>ESCALATE</x:v>
      </x:c>
    </x:row>
    <x:row r="23">
      <x:c r="A23" t="str">
        <x:v>PLT-02</x:v>
      </x:c>
      <x:c r="B23" t="str">
        <x:v>Québec City</x:v>
      </x:c>
      <x:c r="C23" t="n">
        <x:v>46082</x:v>
      </x:c>
      <x:c r="D23" t="str">
        <x:v>Evening</x:v>
      </x:c>
      <x:c r="E23" t="n">
        <x:v>20</x:v>
      </x:c>
      <x:c r="F23" t="n">
        <x:v>2</x:v>
      </x:c>
      <x:c r="G23" t="n">
        <x:v>11</x:v>
      </x:c>
      <x:c r="H23" s="20" t="n">
        <x:f>IFERROR((E23-F23)/E23,0)</x:f>
        <x:v>0.9</x:v>
      </x:c>
      <x:c r="I23" t="str">
        <x:f>IF(H23&lt;0.9,"ESCALATE",IF(G23&gt;20,"WATCH","OK"))</x:f>
        <x:v>OK</x:v>
      </x:c>
    </x:row>
    <x:row r="24">
      <x:c r="A24" t="str">
        <x:v>PLT-02</x:v>
      </x:c>
      <x:c r="B24" t="str">
        <x:v>Québec City</x:v>
      </x:c>
      <x:c r="C24" t="n">
        <x:v>46082</x:v>
      </x:c>
      <x:c r="D24" t="str">
        <x:v>Night</x:v>
      </x:c>
      <x:c r="E24" t="n">
        <x:v>22</x:v>
      </x:c>
      <x:c r="F24" t="n">
        <x:v>3</x:v>
      </x:c>
      <x:c r="G24" t="n">
        <x:v>5</x:v>
      </x:c>
      <x:c r="H24" s="20" t="n">
        <x:f>IFERROR((E24-F24)/E24,0)</x:f>
        <x:v>0.8636363636363636</x:v>
      </x:c>
      <x:c r="I24" t="str">
        <x:f>IF(H24&lt;0.9,"ESCALATE",IF(G24&gt;20,"WATCH","OK"))</x:f>
        <x:v>ESCALATE</x:v>
      </x:c>
    </x:row>
    <x:row r="25">
      <x:c r="A25" t="str">
        <x:v>PLT-02</x:v>
      </x:c>
      <x:c r="B25" t="str">
        <x:v>Québec City</x:v>
      </x:c>
      <x:c r="C25" t="n">
        <x:v>46113</x:v>
      </x:c>
      <x:c r="D25" t="str">
        <x:v>Day</x:v>
      </x:c>
      <x:c r="E25" t="n">
        <x:v>23</x:v>
      </x:c>
      <x:c r="F25" t="n">
        <x:v>2</x:v>
      </x:c>
      <x:c r="G25" t="n">
        <x:v>20</x:v>
      </x:c>
      <x:c r="H25" s="20" t="n">
        <x:f>IFERROR((E25-F25)/E25,0)</x:f>
        <x:v>0.9130434782608695</x:v>
      </x:c>
      <x:c r="I25" t="str">
        <x:f>IF(H25&lt;0.9,"ESCALATE",IF(G25&gt;20,"WATCH","OK"))</x:f>
        <x:v>OK</x:v>
      </x:c>
    </x:row>
    <x:row r="26">
      <x:c r="A26" t="str">
        <x:v>PLT-02</x:v>
      </x:c>
      <x:c r="B26" t="str">
        <x:v>Québec City</x:v>
      </x:c>
      <x:c r="C26" t="n">
        <x:v>46113</x:v>
      </x:c>
      <x:c r="D26" t="str">
        <x:v>Evening</x:v>
      </x:c>
      <x:c r="E26" t="n">
        <x:v>14</x:v>
      </x:c>
      <x:c r="F26" t="n">
        <x:v>1</x:v>
      </x:c>
      <x:c r="G26" t="n">
        <x:v>3</x:v>
      </x:c>
      <x:c r="H26" s="20" t="n">
        <x:f>IFERROR((E26-F26)/E26,0)</x:f>
        <x:v>0.9285714285714286</x:v>
      </x:c>
      <x:c r="I26" t="str">
        <x:f>IF(H26&lt;0.9,"ESCALATE",IF(G26&gt;20,"WATCH","OK"))</x:f>
        <x:v>OK</x:v>
      </x:c>
    </x:row>
    <x:row r="27">
      <x:c r="A27" t="str">
        <x:v>PLT-02</x:v>
      </x:c>
      <x:c r="B27" t="str">
        <x:v>Québec City</x:v>
      </x:c>
      <x:c r="C27" t="n">
        <x:v>46113</x:v>
      </x:c>
      <x:c r="D27" t="str">
        <x:v>Night</x:v>
      </x:c>
      <x:c r="E27" t="n">
        <x:v>27</x:v>
      </x:c>
      <x:c r="F27" t="n">
        <x:v>5</x:v>
      </x:c>
      <x:c r="G27" t="n">
        <x:v>7</x:v>
      </x:c>
      <x:c r="H27" s="20" t="n">
        <x:f>IFERROR((E27-F27)/E27,0)</x:f>
        <x:v>0.8148148148148148</x:v>
      </x:c>
      <x:c r="I27" t="str">
        <x:f>IF(H27&lt;0.9,"ESCALATE",IF(G27&gt;20,"WATCH","OK"))</x:f>
        <x:v>ESCALATE</x:v>
      </x:c>
    </x:row>
    <x:row r="28">
      <x:c r="A28" t="str">
        <x:v>PLT-03</x:v>
      </x:c>
      <x:c r="B28" t="str">
        <x:v>Toronto</x:v>
      </x:c>
      <x:c r="C28" t="n">
        <x:v>46023</x:v>
      </x:c>
      <x:c r="D28" t="str">
        <x:v>Day</x:v>
      </x:c>
      <x:c r="E28" t="n">
        <x:v>23</x:v>
      </x:c>
      <x:c r="F28" t="n">
        <x:v>2</x:v>
      </x:c>
      <x:c r="G28" t="n">
        <x:v>18</x:v>
      </x:c>
      <x:c r="H28" s="20" t="n">
        <x:f>IFERROR((E28-F28)/E28,0)</x:f>
        <x:v>0.9130434782608695</x:v>
      </x:c>
      <x:c r="I28" t="str">
        <x:f>IF(H28&lt;0.9,"ESCALATE",IF(G28&gt;20,"WATCH","OK"))</x:f>
        <x:v>OK</x:v>
      </x:c>
    </x:row>
    <x:row r="29">
      <x:c r="A29" t="str">
        <x:v>PLT-03</x:v>
      </x:c>
      <x:c r="B29" t="str">
        <x:v>Toronto</x:v>
      </x:c>
      <x:c r="C29" t="n">
        <x:v>46023</x:v>
      </x:c>
      <x:c r="D29" t="str">
        <x:v>Evening</x:v>
      </x:c>
      <x:c r="E29" t="n">
        <x:v>22</x:v>
      </x:c>
      <x:c r="F29" t="n">
        <x:v>2</x:v>
      </x:c>
      <x:c r="G29" t="n">
        <x:v>5</x:v>
      </x:c>
      <x:c r="H29" s="20" t="n">
        <x:f>IFERROR((E29-F29)/E29,0)</x:f>
        <x:v>0.9090909090909091</x:v>
      </x:c>
      <x:c r="I29" t="str">
        <x:f>IF(H29&lt;0.9,"ESCALATE",IF(G29&gt;20,"WATCH","OK"))</x:f>
        <x:v>OK</x:v>
      </x:c>
    </x:row>
    <x:row r="30">
      <x:c r="A30" t="str">
        <x:v>PLT-03</x:v>
      </x:c>
      <x:c r="B30" t="str">
        <x:v>Toronto</x:v>
      </x:c>
      <x:c r="C30" t="n">
        <x:v>46023</x:v>
      </x:c>
      <x:c r="D30" t="str">
        <x:v>Night</x:v>
      </x:c>
      <x:c r="E30" t="n">
        <x:v>16</x:v>
      </x:c>
      <x:c r="F30" t="n">
        <x:v>2</x:v>
      </x:c>
      <x:c r="G30" t="n">
        <x:v>19</x:v>
      </x:c>
      <x:c r="H30" s="20" t="n">
        <x:f>IFERROR((E30-F30)/E30,0)</x:f>
        <x:v>0.875</x:v>
      </x:c>
      <x:c r="I30" t="str">
        <x:f>IF(H30&lt;0.9,"ESCALATE",IF(G30&gt;20,"WATCH","OK"))</x:f>
        <x:v>ESCALATE</x:v>
      </x:c>
    </x:row>
    <x:row r="31">
      <x:c r="A31" t="str">
        <x:v>PLT-03</x:v>
      </x:c>
      <x:c r="B31" t="str">
        <x:v>Toronto</x:v>
      </x:c>
      <x:c r="C31" t="n">
        <x:v>46054</x:v>
      </x:c>
      <x:c r="D31" t="str">
        <x:v>Day</x:v>
      </x:c>
      <x:c r="E31" t="n">
        <x:v>17</x:v>
      </x:c>
      <x:c r="F31" t="n">
        <x:v>5</x:v>
      </x:c>
      <x:c r="G31" t="n">
        <x:v>25</x:v>
      </x:c>
      <x:c r="H31" s="20" t="n">
        <x:f>IFERROR((E31-F31)/E31,0)</x:f>
        <x:v>0.7058823529411765</x:v>
      </x:c>
      <x:c r="I31" t="str">
        <x:f>IF(H31&lt;0.9,"ESCALATE",IF(G31&gt;20,"WATCH","OK"))</x:f>
        <x:v>ESCALATE</x:v>
      </x:c>
    </x:row>
    <x:row r="32">
      <x:c r="A32" t="str">
        <x:v>PLT-03</x:v>
      </x:c>
      <x:c r="B32" t="str">
        <x:v>Toronto</x:v>
      </x:c>
      <x:c r="C32" t="n">
        <x:v>46054</x:v>
      </x:c>
      <x:c r="D32" t="str">
        <x:v>Evening</x:v>
      </x:c>
      <x:c r="E32" t="n">
        <x:v>28</x:v>
      </x:c>
      <x:c r="F32" t="n">
        <x:v>5</x:v>
      </x:c>
      <x:c r="G32" t="n">
        <x:v>5</x:v>
      </x:c>
      <x:c r="H32" s="20" t="n">
        <x:f>IFERROR((E32-F32)/E32,0)</x:f>
        <x:v>0.8214285714285714</x:v>
      </x:c>
      <x:c r="I32" t="str">
        <x:f>IF(H32&lt;0.9,"ESCALATE",IF(G32&gt;20,"WATCH","OK"))</x:f>
        <x:v>ESCALATE</x:v>
      </x:c>
    </x:row>
    <x:row r="33">
      <x:c r="A33" t="str">
        <x:v>PLT-03</x:v>
      </x:c>
      <x:c r="B33" t="str">
        <x:v>Toronto</x:v>
      </x:c>
      <x:c r="C33" t="n">
        <x:v>46054</x:v>
      </x:c>
      <x:c r="D33" t="str">
        <x:v>Night</x:v>
      </x:c>
      <x:c r="E33" t="n">
        <x:v>31</x:v>
      </x:c>
      <x:c r="F33" t="n">
        <x:v>5</x:v>
      </x:c>
      <x:c r="G33" t="n">
        <x:v>5</x:v>
      </x:c>
      <x:c r="H33" s="20" t="n">
        <x:f>IFERROR((E33-F33)/E33,0)</x:f>
        <x:v>0.8387096774193549</x:v>
      </x:c>
      <x:c r="I33" t="str">
        <x:f>IF(H33&lt;0.9,"ESCALATE",IF(G33&gt;20,"WATCH","OK"))</x:f>
        <x:v>ESCALATE</x:v>
      </x:c>
    </x:row>
    <x:row r="34">
      <x:c r="A34" t="str">
        <x:v>PLT-03</x:v>
      </x:c>
      <x:c r="B34" t="str">
        <x:v>Toronto</x:v>
      </x:c>
      <x:c r="C34" t="n">
        <x:v>46082</x:v>
      </x:c>
      <x:c r="D34" t="str">
        <x:v>Day</x:v>
      </x:c>
      <x:c r="E34" t="n">
        <x:v>20</x:v>
      </x:c>
      <x:c r="F34" t="n">
        <x:v>1</x:v>
      </x:c>
      <x:c r="G34" t="n">
        <x:v>17</x:v>
      </x:c>
      <x:c r="H34" s="20" t="n">
        <x:f>IFERROR((E34-F34)/E34,0)</x:f>
        <x:v>0.95</x:v>
      </x:c>
      <x:c r="I34" t="str">
        <x:f>IF(H34&lt;0.9,"ESCALATE",IF(G34&gt;20,"WATCH","OK"))</x:f>
        <x:v>OK</x:v>
      </x:c>
    </x:row>
    <x:row r="35">
      <x:c r="A35" t="str">
        <x:v>PLT-03</x:v>
      </x:c>
      <x:c r="B35" t="str">
        <x:v>Toronto</x:v>
      </x:c>
      <x:c r="C35" t="n">
        <x:v>46082</x:v>
      </x:c>
      <x:c r="D35" t="str">
        <x:v>Evening</x:v>
      </x:c>
      <x:c r="E35" t="n">
        <x:v>22</x:v>
      </x:c>
      <x:c r="F35" t="n">
        <x:v>3</x:v>
      </x:c>
      <x:c r="G35" t="n">
        <x:v>31</x:v>
      </x:c>
      <x:c r="H35" s="20" t="n">
        <x:f>IFERROR((E35-F35)/E35,0)</x:f>
        <x:v>0.8636363636363636</x:v>
      </x:c>
      <x:c r="I35" t="str">
        <x:f>IF(H35&lt;0.9,"ESCALATE",IF(G35&gt;20,"WATCH","OK"))</x:f>
        <x:v>ESCALATE</x:v>
      </x:c>
    </x:row>
    <x:row r="36">
      <x:c r="A36" t="str">
        <x:v>PLT-03</x:v>
      </x:c>
      <x:c r="B36" t="str">
        <x:v>Toronto</x:v>
      </x:c>
      <x:c r="C36" t="n">
        <x:v>46082</x:v>
      </x:c>
      <x:c r="D36" t="str">
        <x:v>Night</x:v>
      </x:c>
      <x:c r="E36" t="n">
        <x:v>16</x:v>
      </x:c>
      <x:c r="F36" t="n">
        <x:v>1</x:v>
      </x:c>
      <x:c r="G36" t="n">
        <x:v>14</x:v>
      </x:c>
      <x:c r="H36" s="20" t="n">
        <x:f>IFERROR((E36-F36)/E36,0)</x:f>
        <x:v>0.9375</x:v>
      </x:c>
      <x:c r="I36" t="str">
        <x:f>IF(H36&lt;0.9,"ESCALATE",IF(G36&gt;20,"WATCH","OK"))</x:f>
        <x:v>OK</x:v>
      </x:c>
    </x:row>
    <x:row r="37">
      <x:c r="A37" t="str">
        <x:v>PLT-03</x:v>
      </x:c>
      <x:c r="B37" t="str">
        <x:v>Toronto</x:v>
      </x:c>
      <x:c r="C37" t="n">
        <x:v>46113</x:v>
      </x:c>
      <x:c r="D37" t="str">
        <x:v>Day</x:v>
      </x:c>
      <x:c r="E37" t="n">
        <x:v>21</x:v>
      </x:c>
      <x:c r="F37" t="n">
        <x:v>0</x:v>
      </x:c>
      <x:c r="G37" t="n">
        <x:v>9</x:v>
      </x:c>
      <x:c r="H37" s="20" t="n">
        <x:f>IFERROR((E37-F37)/E37,0)</x:f>
        <x:v>1</x:v>
      </x:c>
      <x:c r="I37" t="str">
        <x:f>IF(H37&lt;0.9,"ESCALATE",IF(G37&gt;20,"WATCH","OK"))</x:f>
        <x:v>OK</x:v>
      </x:c>
    </x:row>
    <x:row r="38">
      <x:c r="A38" t="str">
        <x:v>PLT-03</x:v>
      </x:c>
      <x:c r="B38" t="str">
        <x:v>Toronto</x:v>
      </x:c>
      <x:c r="C38" t="n">
        <x:v>46113</x:v>
      </x:c>
      <x:c r="D38" t="str">
        <x:v>Evening</x:v>
      </x:c>
      <x:c r="E38" t="n">
        <x:v>23</x:v>
      </x:c>
      <x:c r="F38" t="n">
        <x:v>0</x:v>
      </x:c>
      <x:c r="G38" t="n">
        <x:v>10</x:v>
      </x:c>
      <x:c r="H38" s="20" t="n">
        <x:f>IFERROR((E38-F38)/E38,0)</x:f>
        <x:v>1</x:v>
      </x:c>
      <x:c r="I38" t="str">
        <x:f>IF(H38&lt;0.9,"ESCALATE",IF(G38&gt;20,"WATCH","OK"))</x:f>
        <x:v>OK</x:v>
      </x:c>
    </x:row>
    <x:row r="39">
      <x:c r="A39" t="str">
        <x:v>PLT-03</x:v>
      </x:c>
      <x:c r="B39" t="str">
        <x:v>Toronto</x:v>
      </x:c>
      <x:c r="C39" t="n">
        <x:v>46113</x:v>
      </x:c>
      <x:c r="D39" t="str">
        <x:v>Night</x:v>
      </x:c>
      <x:c r="E39" t="n">
        <x:v>16</x:v>
      </x:c>
      <x:c r="F39" t="n">
        <x:v>1</x:v>
      </x:c>
      <x:c r="G39" t="n">
        <x:v>29</x:v>
      </x:c>
      <x:c r="H39" s="20" t="n">
        <x:f>IFERROR((E39-F39)/E39,0)</x:f>
        <x:v>0.9375</x:v>
      </x:c>
      <x:c r="I39" t="str">
        <x:f>IF(H39&lt;0.9,"ESCALATE",IF(G39&gt;20,"WATCH","OK"))</x:f>
        <x:v>WATCH</x:v>
      </x:c>
    </x:row>
    <x:row r="40">
      <x:c r="A40" t="str">
        <x:v>PLT-04</x:v>
      </x:c>
      <x:c r="B40" t="str">
        <x:v>Ottawa</x:v>
      </x:c>
      <x:c r="C40" t="n">
        <x:v>46023</x:v>
      </x:c>
      <x:c r="D40" t="str">
        <x:v>Day</x:v>
      </x:c>
      <x:c r="E40" t="n">
        <x:v>29</x:v>
      </x:c>
      <x:c r="F40" t="n">
        <x:v>2</x:v>
      </x:c>
      <x:c r="G40" t="n">
        <x:v>14</x:v>
      </x:c>
      <x:c r="H40" s="20" t="n">
        <x:f>IFERROR((E40-F40)/E40,0)</x:f>
        <x:v>0.9310344827586207</x:v>
      </x:c>
      <x:c r="I40" t="str">
        <x:f>IF(H40&lt;0.9,"ESCALATE",IF(G40&gt;20,"WATCH","OK"))</x:f>
        <x:v>OK</x:v>
      </x:c>
    </x:row>
    <x:row r="41">
      <x:c r="A41" t="str">
        <x:v>PLT-04</x:v>
      </x:c>
      <x:c r="B41" t="str">
        <x:v>Ottawa</x:v>
      </x:c>
      <x:c r="C41" t="n">
        <x:v>46023</x:v>
      </x:c>
      <x:c r="D41" t="str">
        <x:v>Evening</x:v>
      </x:c>
      <x:c r="E41" t="n">
        <x:v>16</x:v>
      </x:c>
      <x:c r="F41" t="n">
        <x:v>2</x:v>
      </x:c>
      <x:c r="G41" t="n">
        <x:v>5</x:v>
      </x:c>
      <x:c r="H41" s="20" t="n">
        <x:f>IFERROR((E41-F41)/E41,0)</x:f>
        <x:v>0.875</x:v>
      </x:c>
      <x:c r="I41" t="str">
        <x:f>IF(H41&lt;0.9,"ESCALATE",IF(G41&gt;20,"WATCH","OK"))</x:f>
        <x:v>ESCALATE</x:v>
      </x:c>
    </x:row>
    <x:row r="42">
      <x:c r="A42" t="str">
        <x:v>PLT-04</x:v>
      </x:c>
      <x:c r="B42" t="str">
        <x:v>Ottawa</x:v>
      </x:c>
      <x:c r="C42" t="n">
        <x:v>46023</x:v>
      </x:c>
      <x:c r="D42" t="str">
        <x:v>Night</x:v>
      </x:c>
      <x:c r="E42" t="n">
        <x:v>17</x:v>
      </x:c>
      <x:c r="F42" t="n">
        <x:v>4</x:v>
      </x:c>
      <x:c r="G42" t="n">
        <x:v>18</x:v>
      </x:c>
      <x:c r="H42" s="20" t="n">
        <x:f>IFERROR((E42-F42)/E42,0)</x:f>
        <x:v>0.7647058823529411</x:v>
      </x:c>
      <x:c r="I42" t="str">
        <x:f>IF(H42&lt;0.9,"ESCALATE",IF(G42&gt;20,"WATCH","OK"))</x:f>
        <x:v>ESCALATE</x:v>
      </x:c>
    </x:row>
    <x:row r="43">
      <x:c r="A43" t="str">
        <x:v>PLT-04</x:v>
      </x:c>
      <x:c r="B43" t="str">
        <x:v>Ottawa</x:v>
      </x:c>
      <x:c r="C43" t="n">
        <x:v>46054</x:v>
      </x:c>
      <x:c r="D43" t="str">
        <x:v>Day</x:v>
      </x:c>
      <x:c r="E43" t="n">
        <x:v>24</x:v>
      </x:c>
      <x:c r="F43" t="n">
        <x:v>3</x:v>
      </x:c>
      <x:c r="G43" t="n">
        <x:v>15</x:v>
      </x:c>
      <x:c r="H43" s="20" t="n">
        <x:f>IFERROR((E43-F43)/E43,0)</x:f>
        <x:v>0.875</x:v>
      </x:c>
      <x:c r="I43" t="str">
        <x:f>IF(H43&lt;0.9,"ESCALATE",IF(G43&gt;20,"WATCH","OK"))</x:f>
        <x:v>ESCALATE</x:v>
      </x:c>
    </x:row>
    <x:row r="44">
      <x:c r="A44" t="str">
        <x:v>PLT-04</x:v>
      </x:c>
      <x:c r="B44" t="str">
        <x:v>Ottawa</x:v>
      </x:c>
      <x:c r="C44" t="n">
        <x:v>46054</x:v>
      </x:c>
      <x:c r="D44" t="str">
        <x:v>Evening</x:v>
      </x:c>
      <x:c r="E44" t="n">
        <x:v>27</x:v>
      </x:c>
      <x:c r="F44" t="n">
        <x:v>3</x:v>
      </x:c>
      <x:c r="G44" t="n">
        <x:v>18</x:v>
      </x:c>
      <x:c r="H44" s="20" t="n">
        <x:f>IFERROR((E44-F44)/E44,0)</x:f>
        <x:v>0.8888888888888888</x:v>
      </x:c>
      <x:c r="I44" t="str">
        <x:f>IF(H44&lt;0.9,"ESCALATE",IF(G44&gt;20,"WATCH","OK"))</x:f>
        <x:v>ESCALATE</x:v>
      </x:c>
    </x:row>
    <x:row r="45">
      <x:c r="A45" t="str">
        <x:v>PLT-04</x:v>
      </x:c>
      <x:c r="B45" t="str">
        <x:v>Ottawa</x:v>
      </x:c>
      <x:c r="C45" t="n">
        <x:v>46054</x:v>
      </x:c>
      <x:c r="D45" t="str">
        <x:v>Night</x:v>
      </x:c>
      <x:c r="E45" t="n">
        <x:v>22</x:v>
      </x:c>
      <x:c r="F45" t="n">
        <x:v>3</x:v>
      </x:c>
      <x:c r="G45" t="n">
        <x:v>2</x:v>
      </x:c>
      <x:c r="H45" s="20" t="n">
        <x:f>IFERROR((E45-F45)/E45,0)</x:f>
        <x:v>0.8636363636363636</x:v>
      </x:c>
      <x:c r="I45" t="str">
        <x:f>IF(H45&lt;0.9,"ESCALATE",IF(G45&gt;20,"WATCH","OK"))</x:f>
        <x:v>ESCALATE</x:v>
      </x:c>
    </x:row>
    <x:row r="46">
      <x:c r="A46" t="str">
        <x:v>PLT-04</x:v>
      </x:c>
      <x:c r="B46" t="str">
        <x:v>Ottawa</x:v>
      </x:c>
      <x:c r="C46" t="n">
        <x:v>46082</x:v>
      </x:c>
      <x:c r="D46" t="str">
        <x:v>Day</x:v>
      </x:c>
      <x:c r="E46" t="n">
        <x:v>16</x:v>
      </x:c>
      <x:c r="F46" t="n">
        <x:v>1</x:v>
      </x:c>
      <x:c r="G46" t="n">
        <x:v>9</x:v>
      </x:c>
      <x:c r="H46" s="20" t="n">
        <x:f>IFERROR((E46-F46)/E46,0)</x:f>
        <x:v>0.9375</x:v>
      </x:c>
      <x:c r="I46" t="str">
        <x:f>IF(H46&lt;0.9,"ESCALATE",IF(G46&gt;20,"WATCH","OK"))</x:f>
        <x:v>OK</x:v>
      </x:c>
    </x:row>
    <x:row r="47">
      <x:c r="A47" t="str">
        <x:v>PLT-04</x:v>
      </x:c>
      <x:c r="B47" t="str">
        <x:v>Ottawa</x:v>
      </x:c>
      <x:c r="C47" t="n">
        <x:v>46082</x:v>
      </x:c>
      <x:c r="D47" t="str">
        <x:v>Evening</x:v>
      </x:c>
      <x:c r="E47" t="n">
        <x:v>23</x:v>
      </x:c>
      <x:c r="F47" t="n">
        <x:v>0</x:v>
      </x:c>
      <x:c r="G47" t="n">
        <x:v>3</x:v>
      </x:c>
      <x:c r="H47" s="20" t="n">
        <x:f>IFERROR((E47-F47)/E47,0)</x:f>
        <x:v>1</x:v>
      </x:c>
      <x:c r="I47" t="str">
        <x:f>IF(H47&lt;0.9,"ESCALATE",IF(G47&gt;20,"WATCH","OK"))</x:f>
        <x:v>OK</x:v>
      </x:c>
    </x:row>
    <x:row r="48">
      <x:c r="A48" t="str">
        <x:v>PLT-04</x:v>
      </x:c>
      <x:c r="B48" t="str">
        <x:v>Ottawa</x:v>
      </x:c>
      <x:c r="C48" t="n">
        <x:v>46082</x:v>
      </x:c>
      <x:c r="D48" t="str">
        <x:v>Night</x:v>
      </x:c>
      <x:c r="E48" t="n">
        <x:v>35</x:v>
      </x:c>
      <x:c r="F48" t="n">
        <x:v>2</x:v>
      </x:c>
      <x:c r="G48" t="n">
        <x:v>2</x:v>
      </x:c>
      <x:c r="H48" s="20" t="n">
        <x:f>IFERROR((E48-F48)/E48,0)</x:f>
        <x:v>0.9428571428571428</x:v>
      </x:c>
      <x:c r="I48" t="str">
        <x:f>IF(H48&lt;0.9,"ESCALATE",IF(G48&gt;20,"WATCH","OK"))</x:f>
        <x:v>OK</x:v>
      </x:c>
    </x:row>
    <x:row r="49">
      <x:c r="A49" t="str">
        <x:v>PLT-04</x:v>
      </x:c>
      <x:c r="B49" t="str">
        <x:v>Ottawa</x:v>
      </x:c>
      <x:c r="C49" t="n">
        <x:v>46113</x:v>
      </x:c>
      <x:c r="D49" t="str">
        <x:v>Day</x:v>
      </x:c>
      <x:c r="E49" t="n">
        <x:v>29</x:v>
      </x:c>
      <x:c r="F49" t="n">
        <x:v>5</x:v>
      </x:c>
      <x:c r="G49" t="n">
        <x:v>25</x:v>
      </x:c>
      <x:c r="H49" s="20" t="n">
        <x:f>IFERROR((E49-F49)/E49,0)</x:f>
        <x:v>0.8275862068965517</x:v>
      </x:c>
      <x:c r="I49" t="str">
        <x:f>IF(H49&lt;0.9,"ESCALATE",IF(G49&gt;20,"WATCH","OK"))</x:f>
        <x:v>ESCALATE</x:v>
      </x:c>
    </x:row>
    <x:row r="50">
      <x:c r="A50" t="str">
        <x:v>PLT-04</x:v>
      </x:c>
      <x:c r="B50" t="str">
        <x:v>Ottawa</x:v>
      </x:c>
      <x:c r="C50" t="n">
        <x:v>46113</x:v>
      </x:c>
      <x:c r="D50" t="str">
        <x:v>Evening</x:v>
      </x:c>
      <x:c r="E50" t="n">
        <x:v>15</x:v>
      </x:c>
      <x:c r="F50" t="n">
        <x:v>4</x:v>
      </x:c>
      <x:c r="G50" t="n">
        <x:v>6</x:v>
      </x:c>
      <x:c r="H50" s="20" t="n">
        <x:f>IFERROR((E50-F50)/E50,0)</x:f>
        <x:v>0.7333333333333333</x:v>
      </x:c>
      <x:c r="I50" t="str">
        <x:f>IF(H50&lt;0.9,"ESCALATE",IF(G50&gt;20,"WATCH","OK"))</x:f>
        <x:v>ESCALATE</x:v>
      </x:c>
    </x:row>
    <x:row r="51">
      <x:c r="A51" t="str">
        <x:v>PLT-04</x:v>
      </x:c>
      <x:c r="B51" t="str">
        <x:v>Ottawa</x:v>
      </x:c>
      <x:c r="C51" t="n">
        <x:v>46113</x:v>
      </x:c>
      <x:c r="D51" t="str">
        <x:v>Night</x:v>
      </x:c>
      <x:c r="E51" t="n">
        <x:v>16</x:v>
      </x:c>
      <x:c r="F51" t="n">
        <x:v>5</x:v>
      </x:c>
      <x:c r="G51" t="n">
        <x:v>8</x:v>
      </x:c>
      <x:c r="H51" s="20" t="n">
        <x:f>IFERROR((E51-F51)/E51,0)</x:f>
        <x:v>0.6875</x:v>
      </x:c>
      <x:c r="I51" t="str">
        <x:f>IF(H51&lt;0.9,"ESCALATE",IF(G51&gt;20,"WATCH","OK"))</x:f>
        <x:v>ESCALATE</x:v>
      </x:c>
    </x:row>
    <x:row r="52">
      <x:c r="A52" t="str">
        <x:v>PLT-05</x:v>
      </x:c>
      <x:c r="B52" t="str">
        <x:v>Hamilton</x:v>
      </x:c>
      <x:c r="C52" t="n">
        <x:v>46023</x:v>
      </x:c>
      <x:c r="D52" t="str">
        <x:v>Day</x:v>
      </x:c>
      <x:c r="E52" t="n">
        <x:v>28</x:v>
      </x:c>
      <x:c r="F52" t="n">
        <x:v>2</x:v>
      </x:c>
      <x:c r="G52" t="n">
        <x:v>15</x:v>
      </x:c>
      <x:c r="H52" s="20" t="n">
        <x:f>IFERROR((E52-F52)/E52,0)</x:f>
        <x:v>0.9285714285714286</x:v>
      </x:c>
      <x:c r="I52" t="str">
        <x:f>IF(H52&lt;0.9,"ESCALATE",IF(G52&gt;20,"WATCH","OK"))</x:f>
        <x:v>OK</x:v>
      </x:c>
    </x:row>
    <x:row r="53">
      <x:c r="A53" t="str">
        <x:v>PLT-05</x:v>
      </x:c>
      <x:c r="B53" t="str">
        <x:v>Hamilton</x:v>
      </x:c>
      <x:c r="C53" t="n">
        <x:v>46023</x:v>
      </x:c>
      <x:c r="D53" t="str">
        <x:v>Evening</x:v>
      </x:c>
      <x:c r="E53" t="n">
        <x:v>23</x:v>
      </x:c>
      <x:c r="F53" t="n">
        <x:v>3</x:v>
      </x:c>
      <x:c r="G53" t="n">
        <x:v>0</x:v>
      </x:c>
      <x:c r="H53" s="20" t="n">
        <x:f>IFERROR((E53-F53)/E53,0)</x:f>
        <x:v>0.8695652173913043</x:v>
      </x:c>
      <x:c r="I53" t="str">
        <x:f>IF(H53&lt;0.9,"ESCALATE",IF(G53&gt;20,"WATCH","OK"))</x:f>
        <x:v>ESCALATE</x:v>
      </x:c>
    </x:row>
    <x:row r="54">
      <x:c r="A54" t="str">
        <x:v>PLT-05</x:v>
      </x:c>
      <x:c r="B54" t="str">
        <x:v>Hamilton</x:v>
      </x:c>
      <x:c r="C54" t="n">
        <x:v>46023</x:v>
      </x:c>
      <x:c r="D54" t="str">
        <x:v>Night</x:v>
      </x:c>
      <x:c r="E54" t="n">
        <x:v>16</x:v>
      </x:c>
      <x:c r="F54" t="n">
        <x:v>0</x:v>
      </x:c>
      <x:c r="G54" t="n">
        <x:v>27</x:v>
      </x:c>
      <x:c r="H54" s="20" t="n">
        <x:f>IFERROR((E54-F54)/E54,0)</x:f>
        <x:v>1</x:v>
      </x:c>
      <x:c r="I54" t="str">
        <x:f>IF(H54&lt;0.9,"ESCALATE",IF(G54&gt;20,"WATCH","OK"))</x:f>
        <x:v>WATCH</x:v>
      </x:c>
    </x:row>
    <x:row r="55">
      <x:c r="A55" t="str">
        <x:v>PLT-05</x:v>
      </x:c>
      <x:c r="B55" t="str">
        <x:v>Hamilton</x:v>
      </x:c>
      <x:c r="C55" t="n">
        <x:v>46054</x:v>
      </x:c>
      <x:c r="D55" t="str">
        <x:v>Day</x:v>
      </x:c>
      <x:c r="E55" t="n">
        <x:v>18</x:v>
      </x:c>
      <x:c r="F55" t="n">
        <x:v>5</x:v>
      </x:c>
      <x:c r="G55" t="n">
        <x:v>13</x:v>
      </x:c>
      <x:c r="H55" s="20" t="n">
        <x:f>IFERROR((E55-F55)/E55,0)</x:f>
        <x:v>0.7222222222222222</x:v>
      </x:c>
      <x:c r="I55" t="str">
        <x:f>IF(H55&lt;0.9,"ESCALATE",IF(G55&gt;20,"WATCH","OK"))</x:f>
        <x:v>ESCALATE</x:v>
      </x:c>
    </x:row>
    <x:row r="56">
      <x:c r="A56" t="str">
        <x:v>PLT-05</x:v>
      </x:c>
      <x:c r="B56" t="str">
        <x:v>Hamilton</x:v>
      </x:c>
      <x:c r="C56" t="n">
        <x:v>46054</x:v>
      </x:c>
      <x:c r="D56" t="str">
        <x:v>Evening</x:v>
      </x:c>
      <x:c r="E56" t="n">
        <x:v>28</x:v>
      </x:c>
      <x:c r="F56" t="n">
        <x:v>0</x:v>
      </x:c>
      <x:c r="G56" t="n">
        <x:v>16</x:v>
      </x:c>
      <x:c r="H56" s="20" t="n">
        <x:f>IFERROR((E56-F56)/E56,0)</x:f>
        <x:v>1</x:v>
      </x:c>
      <x:c r="I56" t="str">
        <x:f>IF(H56&lt;0.9,"ESCALATE",IF(G56&gt;20,"WATCH","OK"))</x:f>
        <x:v>OK</x:v>
      </x:c>
    </x:row>
    <x:row r="57">
      <x:c r="A57" t="str">
        <x:v>PLT-05</x:v>
      </x:c>
      <x:c r="B57" t="str">
        <x:v>Hamilton</x:v>
      </x:c>
      <x:c r="C57" t="n">
        <x:v>46054</x:v>
      </x:c>
      <x:c r="D57" t="str">
        <x:v>Night</x:v>
      </x:c>
      <x:c r="E57" t="n">
        <x:v>23</x:v>
      </x:c>
      <x:c r="F57" t="n">
        <x:v>5</x:v>
      </x:c>
      <x:c r="G57" t="n">
        <x:v>14</x:v>
      </x:c>
      <x:c r="H57" s="20" t="n">
        <x:f>IFERROR((E57-F57)/E57,0)</x:f>
        <x:v>0.782608695652174</x:v>
      </x:c>
      <x:c r="I57" t="str">
        <x:f>IF(H57&lt;0.9,"ESCALATE",IF(G57&gt;20,"WATCH","OK"))</x:f>
        <x:v>ESCALATE</x:v>
      </x:c>
    </x:row>
    <x:row r="58">
      <x:c r="A58" t="str">
        <x:v>PLT-05</x:v>
      </x:c>
      <x:c r="B58" t="str">
        <x:v>Hamilton</x:v>
      </x:c>
      <x:c r="C58" t="n">
        <x:v>46082</x:v>
      </x:c>
      <x:c r="D58" t="str">
        <x:v>Day</x:v>
      </x:c>
      <x:c r="E58" t="n">
        <x:v>20</x:v>
      </x:c>
      <x:c r="F58" t="n">
        <x:v>4</x:v>
      </x:c>
      <x:c r="G58" t="n">
        <x:v>12</x:v>
      </x:c>
      <x:c r="H58" s="20" t="n">
        <x:f>IFERROR((E58-F58)/E58,0)</x:f>
        <x:v>0.8</x:v>
      </x:c>
      <x:c r="I58" t="str">
        <x:f>IF(H58&lt;0.9,"ESCALATE",IF(G58&gt;20,"WATCH","OK"))</x:f>
        <x:v>ESCALATE</x:v>
      </x:c>
    </x:row>
    <x:row r="59">
      <x:c r="A59" t="str">
        <x:v>PLT-05</x:v>
      </x:c>
      <x:c r="B59" t="str">
        <x:v>Hamilton</x:v>
      </x:c>
      <x:c r="C59" t="n">
        <x:v>46082</x:v>
      </x:c>
      <x:c r="D59" t="str">
        <x:v>Evening</x:v>
      </x:c>
      <x:c r="E59" t="n">
        <x:v>24</x:v>
      </x:c>
      <x:c r="F59" t="n">
        <x:v>0</x:v>
      </x:c>
      <x:c r="G59" t="n">
        <x:v>22</x:v>
      </x:c>
      <x:c r="H59" s="20" t="n">
        <x:f>IFERROR((E59-F59)/E59,0)</x:f>
        <x:v>1</x:v>
      </x:c>
      <x:c r="I59" t="str">
        <x:f>IF(H59&lt;0.9,"ESCALATE",IF(G59&gt;20,"WATCH","OK"))</x:f>
        <x:v>WATCH</x:v>
      </x:c>
    </x:row>
    <x:row r="60">
      <x:c r="A60" t="str">
        <x:v>PLT-05</x:v>
      </x:c>
      <x:c r="B60" t="str">
        <x:v>Hamilton</x:v>
      </x:c>
      <x:c r="C60" t="n">
        <x:v>46082</x:v>
      </x:c>
      <x:c r="D60" t="str">
        <x:v>Night</x:v>
      </x:c>
      <x:c r="E60" t="n">
        <x:v>35</x:v>
      </x:c>
      <x:c r="F60" t="n">
        <x:v>1</x:v>
      </x:c>
      <x:c r="G60" t="n">
        <x:v>12</x:v>
      </x:c>
      <x:c r="H60" s="20" t="n">
        <x:f>IFERROR((E60-F60)/E60,0)</x:f>
        <x:v>0.9714285714285714</x:v>
      </x:c>
      <x:c r="I60" t="str">
        <x:f>IF(H60&lt;0.9,"ESCALATE",IF(G60&gt;20,"WATCH","OK"))</x:f>
        <x:v>OK</x:v>
      </x:c>
    </x:row>
    <x:row r="61">
      <x:c r="A61" t="str">
        <x:v>PLT-05</x:v>
      </x:c>
      <x:c r="B61" t="str">
        <x:v>Hamilton</x:v>
      </x:c>
      <x:c r="C61" t="n">
        <x:v>46113</x:v>
      </x:c>
      <x:c r="D61" t="str">
        <x:v>Day</x:v>
      </x:c>
      <x:c r="E61" t="n">
        <x:v>27</x:v>
      </x:c>
      <x:c r="F61" t="n">
        <x:v>4</x:v>
      </x:c>
      <x:c r="G61" t="n">
        <x:v>0</x:v>
      </x:c>
      <x:c r="H61" s="20" t="n">
        <x:f>IFERROR((E61-F61)/E61,0)</x:f>
        <x:v>0.8518518518518519</x:v>
      </x:c>
      <x:c r="I61" t="str">
        <x:f>IF(H61&lt;0.9,"ESCALATE",IF(G61&gt;20,"WATCH","OK"))</x:f>
        <x:v>ESCALATE</x:v>
      </x:c>
    </x:row>
    <x:row r="62">
      <x:c r="A62" t="str">
        <x:v>PLT-05</x:v>
      </x:c>
      <x:c r="B62" t="str">
        <x:v>Hamilton</x:v>
      </x:c>
      <x:c r="C62" t="n">
        <x:v>46113</x:v>
      </x:c>
      <x:c r="D62" t="str">
        <x:v>Evening</x:v>
      </x:c>
      <x:c r="E62" t="n">
        <x:v>33</x:v>
      </x:c>
      <x:c r="F62" t="n">
        <x:v>4</x:v>
      </x:c>
      <x:c r="G62" t="n">
        <x:v>5</x:v>
      </x:c>
      <x:c r="H62" s="20" t="n">
        <x:f>IFERROR((E62-F62)/E62,0)</x:f>
        <x:v>0.8787878787878788</x:v>
      </x:c>
      <x:c r="I62" t="str">
        <x:f>IF(H62&lt;0.9,"ESCALATE",IF(G62&gt;20,"WATCH","OK"))</x:f>
        <x:v>ESCALATE</x:v>
      </x:c>
    </x:row>
    <x:row r="63">
      <x:c r="A63" t="str">
        <x:v>PLT-05</x:v>
      </x:c>
      <x:c r="B63" t="str">
        <x:v>Hamilton</x:v>
      </x:c>
      <x:c r="C63" t="n">
        <x:v>46113</x:v>
      </x:c>
      <x:c r="D63" t="str">
        <x:v>Night</x:v>
      </x:c>
      <x:c r="E63" t="n">
        <x:v>31</x:v>
      </x:c>
      <x:c r="F63" t="n">
        <x:v>3</x:v>
      </x:c>
      <x:c r="G63" t="n">
        <x:v>3</x:v>
      </x:c>
      <x:c r="H63" s="20" t="n">
        <x:f>IFERROR((E63-F63)/E63,0)</x:f>
        <x:v>0.9032258064516129</x:v>
      </x:c>
      <x:c r="I63" t="str">
        <x:f>IF(H63&lt;0.9,"ESCALATE",IF(G63&gt;20,"WATCH","OK"))</x:f>
        <x:v>OK</x:v>
      </x:c>
    </x:row>
    <x:row r="64">
      <x:c r="A64" t="str">
        <x:v>PLT-06</x:v>
      </x:c>
      <x:c r="B64" t="str">
        <x:v>London</x:v>
      </x:c>
      <x:c r="C64" t="n">
        <x:v>46023</x:v>
      </x:c>
      <x:c r="D64" t="str">
        <x:v>Day</x:v>
      </x:c>
      <x:c r="E64" t="n">
        <x:v>32</x:v>
      </x:c>
      <x:c r="F64" t="n">
        <x:v>5</x:v>
      </x:c>
      <x:c r="G64" t="n">
        <x:v>13</x:v>
      </x:c>
      <x:c r="H64" s="20" t="n">
        <x:f>IFERROR((E64-F64)/E64,0)</x:f>
        <x:v>0.84375</x:v>
      </x:c>
      <x:c r="I64" t="str">
        <x:f>IF(H64&lt;0.9,"ESCALATE",IF(G64&gt;20,"WATCH","OK"))</x:f>
        <x:v>ESCALATE</x:v>
      </x:c>
    </x:row>
    <x:row r="65">
      <x:c r="A65" t="str">
        <x:v>PLT-06</x:v>
      </x:c>
      <x:c r="B65" t="str">
        <x:v>London</x:v>
      </x:c>
      <x:c r="C65" t="n">
        <x:v>46023</x:v>
      </x:c>
      <x:c r="D65" t="str">
        <x:v>Evening</x:v>
      </x:c>
      <x:c r="E65" t="n">
        <x:v>32</x:v>
      </x:c>
      <x:c r="F65" t="n">
        <x:v>5</x:v>
      </x:c>
      <x:c r="G65" t="n">
        <x:v>16</x:v>
      </x:c>
      <x:c r="H65" s="20" t="n">
        <x:f>IFERROR((E65-F65)/E65,0)</x:f>
        <x:v>0.84375</x:v>
      </x:c>
      <x:c r="I65" t="str">
        <x:f>IF(H65&lt;0.9,"ESCALATE",IF(G65&gt;20,"WATCH","OK"))</x:f>
        <x:v>ESCALATE</x:v>
      </x:c>
    </x:row>
    <x:row r="66">
      <x:c r="A66" t="str">
        <x:v>PLT-06</x:v>
      </x:c>
      <x:c r="B66" t="str">
        <x:v>London</x:v>
      </x:c>
      <x:c r="C66" t="n">
        <x:v>46023</x:v>
      </x:c>
      <x:c r="D66" t="str">
        <x:v>Night</x:v>
      </x:c>
      <x:c r="E66" t="n">
        <x:v>16</x:v>
      </x:c>
      <x:c r="F66" t="n">
        <x:v>3</x:v>
      </x:c>
      <x:c r="G66" t="n">
        <x:v>23</x:v>
      </x:c>
      <x:c r="H66" s="20" t="n">
        <x:f>IFERROR((E66-F66)/E66,0)</x:f>
        <x:v>0.8125</x:v>
      </x:c>
      <x:c r="I66" t="str">
        <x:f>IF(H66&lt;0.9,"ESCALATE",IF(G66&gt;20,"WATCH","OK"))</x:f>
        <x:v>ESCALATE</x:v>
      </x:c>
    </x:row>
    <x:row r="67">
      <x:c r="A67" t="str">
        <x:v>PLT-06</x:v>
      </x:c>
      <x:c r="B67" t="str">
        <x:v>London</x:v>
      </x:c>
      <x:c r="C67" t="n">
        <x:v>46054</x:v>
      </x:c>
      <x:c r="D67" t="str">
        <x:v>Day</x:v>
      </x:c>
      <x:c r="E67" t="n">
        <x:v>27</x:v>
      </x:c>
      <x:c r="F67" t="n">
        <x:v>0</x:v>
      </x:c>
      <x:c r="G67" t="n">
        <x:v>19</x:v>
      </x:c>
      <x:c r="H67" s="20" t="n">
        <x:f>IFERROR((E67-F67)/E67,0)</x:f>
        <x:v>1</x:v>
      </x:c>
      <x:c r="I67" t="str">
        <x:f>IF(H67&lt;0.9,"ESCALATE",IF(G67&gt;20,"WATCH","OK"))</x:f>
        <x:v>OK</x:v>
      </x:c>
    </x:row>
    <x:row r="68">
      <x:c r="A68" t="str">
        <x:v>PLT-06</x:v>
      </x:c>
      <x:c r="B68" t="str">
        <x:v>London</x:v>
      </x:c>
      <x:c r="C68" t="n">
        <x:v>46054</x:v>
      </x:c>
      <x:c r="D68" t="str">
        <x:v>Evening</x:v>
      </x:c>
      <x:c r="E68" t="n">
        <x:v>34</x:v>
      </x:c>
      <x:c r="F68" t="n">
        <x:v>3</x:v>
      </x:c>
      <x:c r="G68" t="n">
        <x:v>17</x:v>
      </x:c>
      <x:c r="H68" s="20" t="n">
        <x:f>IFERROR((E68-F68)/E68,0)</x:f>
        <x:v>0.9117647058823529</x:v>
      </x:c>
      <x:c r="I68" t="str">
        <x:f>IF(H68&lt;0.9,"ESCALATE",IF(G68&gt;20,"WATCH","OK"))</x:f>
        <x:v>OK</x:v>
      </x:c>
    </x:row>
    <x:row r="69">
      <x:c r="A69" t="str">
        <x:v>PLT-06</x:v>
      </x:c>
      <x:c r="B69" t="str">
        <x:v>London</x:v>
      </x:c>
      <x:c r="C69" t="n">
        <x:v>46054</x:v>
      </x:c>
      <x:c r="D69" t="str">
        <x:v>Night</x:v>
      </x:c>
      <x:c r="E69" t="n">
        <x:v>14</x:v>
      </x:c>
      <x:c r="F69" t="n">
        <x:v>1</x:v>
      </x:c>
      <x:c r="G69" t="n">
        <x:v>13</x:v>
      </x:c>
      <x:c r="H69" s="20" t="n">
        <x:f>IFERROR((E69-F69)/E69,0)</x:f>
        <x:v>0.9285714285714286</x:v>
      </x:c>
      <x:c r="I69" t="str">
        <x:f>IF(H69&lt;0.9,"ESCALATE",IF(G69&gt;20,"WATCH","OK"))</x:f>
        <x:v>OK</x:v>
      </x:c>
    </x:row>
    <x:row r="70">
      <x:c r="A70" t="str">
        <x:v>PLT-06</x:v>
      </x:c>
      <x:c r="B70" t="str">
        <x:v>London</x:v>
      </x:c>
      <x:c r="C70" t="n">
        <x:v>46082</x:v>
      </x:c>
      <x:c r="D70" t="str">
        <x:v>Day</x:v>
      </x:c>
      <x:c r="E70" t="n">
        <x:v>21</x:v>
      </x:c>
      <x:c r="F70" t="n">
        <x:v>2</x:v>
      </x:c>
      <x:c r="G70" t="n">
        <x:v>21</x:v>
      </x:c>
      <x:c r="H70" s="20" t="n">
        <x:f>IFERROR((E70-F70)/E70,0)</x:f>
        <x:v>0.9047619047619048</x:v>
      </x:c>
      <x:c r="I70" t="str">
        <x:f>IF(H70&lt;0.9,"ESCALATE",IF(G70&gt;20,"WATCH","OK"))</x:f>
        <x:v>WATCH</x:v>
      </x:c>
    </x:row>
    <x:row r="71">
      <x:c r="A71" t="str">
        <x:v>PLT-06</x:v>
      </x:c>
      <x:c r="B71" t="str">
        <x:v>London</x:v>
      </x:c>
      <x:c r="C71" t="n">
        <x:v>46082</x:v>
      </x:c>
      <x:c r="D71" t="str">
        <x:v>Evening</x:v>
      </x:c>
      <x:c r="E71" t="n">
        <x:v>28</x:v>
      </x:c>
      <x:c r="F71" t="n">
        <x:v>4</x:v>
      </x:c>
      <x:c r="G71" t="n">
        <x:v>26</x:v>
      </x:c>
      <x:c r="H71" s="20" t="n">
        <x:f>IFERROR((E71-F71)/E71,0)</x:f>
        <x:v>0.8571428571428571</x:v>
      </x:c>
      <x:c r="I71" t="str">
        <x:f>IF(H71&lt;0.9,"ESCALATE",IF(G71&gt;20,"WATCH","OK"))</x:f>
        <x:v>ESCALATE</x:v>
      </x:c>
    </x:row>
    <x:row r="72">
      <x:c r="A72" t="str">
        <x:v>PLT-06</x:v>
      </x:c>
      <x:c r="B72" t="str">
        <x:v>London</x:v>
      </x:c>
      <x:c r="C72" t="n">
        <x:v>46082</x:v>
      </x:c>
      <x:c r="D72" t="str">
        <x:v>Night</x:v>
      </x:c>
      <x:c r="E72" t="n">
        <x:v>21</x:v>
      </x:c>
      <x:c r="F72" t="n">
        <x:v>2</x:v>
      </x:c>
      <x:c r="G72" t="n">
        <x:v>10</x:v>
      </x:c>
      <x:c r="H72" s="20" t="n">
        <x:f>IFERROR((E72-F72)/E72,0)</x:f>
        <x:v>0.9047619047619048</x:v>
      </x:c>
      <x:c r="I72" t="str">
        <x:f>IF(H72&lt;0.9,"ESCALATE",IF(G72&gt;20,"WATCH","OK"))</x:f>
        <x:v>OK</x:v>
      </x:c>
    </x:row>
    <x:row r="73">
      <x:c r="A73" t="str">
        <x:v>PLT-06</x:v>
      </x:c>
      <x:c r="B73" t="str">
        <x:v>London</x:v>
      </x:c>
      <x:c r="C73" t="n">
        <x:v>46113</x:v>
      </x:c>
      <x:c r="D73" t="str">
        <x:v>Day</x:v>
      </x:c>
      <x:c r="E73" t="n">
        <x:v>26</x:v>
      </x:c>
      <x:c r="F73" t="n">
        <x:v>5</x:v>
      </x:c>
      <x:c r="G73" t="n">
        <x:v>26</x:v>
      </x:c>
      <x:c r="H73" s="20" t="n">
        <x:f>IFERROR((E73-F73)/E73,0)</x:f>
        <x:v>0.8076923076923077</x:v>
      </x:c>
      <x:c r="I73" t="str">
        <x:f>IF(H73&lt;0.9,"ESCALATE",IF(G73&gt;20,"WATCH","OK"))</x:f>
        <x:v>ESCALATE</x:v>
      </x:c>
    </x:row>
    <x:row r="74">
      <x:c r="A74" t="str">
        <x:v>PLT-06</x:v>
      </x:c>
      <x:c r="B74" t="str">
        <x:v>London</x:v>
      </x:c>
      <x:c r="C74" t="n">
        <x:v>46113</x:v>
      </x:c>
      <x:c r="D74" t="str">
        <x:v>Evening</x:v>
      </x:c>
      <x:c r="E74" t="n">
        <x:v>19</x:v>
      </x:c>
      <x:c r="F74" t="n">
        <x:v>5</x:v>
      </x:c>
      <x:c r="G74" t="n">
        <x:v>28</x:v>
      </x:c>
      <x:c r="H74" s="20" t="n">
        <x:f>IFERROR((E74-F74)/E74,0)</x:f>
        <x:v>0.7368421052631579</x:v>
      </x:c>
      <x:c r="I74" t="str">
        <x:f>IF(H74&lt;0.9,"ESCALATE",IF(G74&gt;20,"WATCH","OK"))</x:f>
        <x:v>ESCALATE</x:v>
      </x:c>
    </x:row>
    <x:row r="75">
      <x:c r="A75" t="str">
        <x:v>PLT-06</x:v>
      </x:c>
      <x:c r="B75" t="str">
        <x:v>London</x:v>
      </x:c>
      <x:c r="C75" t="n">
        <x:v>46113</x:v>
      </x:c>
      <x:c r="D75" t="str">
        <x:v>Night</x:v>
      </x:c>
      <x:c r="E75" t="n">
        <x:v>19</x:v>
      </x:c>
      <x:c r="F75" t="n">
        <x:v>2</x:v>
      </x:c>
      <x:c r="G75" t="n">
        <x:v>10</x:v>
      </x:c>
      <x:c r="H75" s="20" t="n">
        <x:f>IFERROR((E75-F75)/E75,0)</x:f>
        <x:v>0.8947368421052632</x:v>
      </x:c>
      <x:c r="I75" t="str">
        <x:f>IF(H75&lt;0.9,"ESCALATE",IF(G75&gt;20,"WATCH","OK"))</x:f>
        <x:v>ESCALATE</x:v>
      </x:c>
    </x:row>
    <x:row r="76">
      <x:c r="A76" t="str">
        <x:v>PLT-07</x:v>
      </x:c>
      <x:c r="B76" t="str">
        <x:v>Winnipeg</x:v>
      </x:c>
      <x:c r="C76" t="n">
        <x:v>46023</x:v>
      </x:c>
      <x:c r="D76" t="str">
        <x:v>Day</x:v>
      </x:c>
      <x:c r="E76" t="n">
        <x:v>26</x:v>
      </x:c>
      <x:c r="F76" t="n">
        <x:v>0</x:v>
      </x:c>
      <x:c r="G76" t="n">
        <x:v>17</x:v>
      </x:c>
      <x:c r="H76" s="20" t="n">
        <x:f>IFERROR((E76-F76)/E76,0)</x:f>
        <x:v>1</x:v>
      </x:c>
      <x:c r="I76" t="str">
        <x:f>IF(H76&lt;0.9,"ESCALATE",IF(G76&gt;20,"WATCH","OK"))</x:f>
        <x:v>OK</x:v>
      </x:c>
    </x:row>
    <x:row r="77">
      <x:c r="A77" t="str">
        <x:v>PLT-07</x:v>
      </x:c>
      <x:c r="B77" t="str">
        <x:v>Winnipeg</x:v>
      </x:c>
      <x:c r="C77" t="n">
        <x:v>46023</x:v>
      </x:c>
      <x:c r="D77" t="str">
        <x:v>Evening</x:v>
      </x:c>
      <x:c r="E77" t="n">
        <x:v>33</x:v>
      </x:c>
      <x:c r="F77" t="n">
        <x:v>4</x:v>
      </x:c>
      <x:c r="G77" t="n">
        <x:v>31</x:v>
      </x:c>
      <x:c r="H77" s="20" t="n">
        <x:f>IFERROR((E77-F77)/E77,0)</x:f>
        <x:v>0.8787878787878788</x:v>
      </x:c>
      <x:c r="I77" t="str">
        <x:f>IF(H77&lt;0.9,"ESCALATE",IF(G77&gt;20,"WATCH","OK"))</x:f>
        <x:v>ESCALATE</x:v>
      </x:c>
    </x:row>
    <x:row r="78">
      <x:c r="A78" t="str">
        <x:v>PLT-07</x:v>
      </x:c>
      <x:c r="B78" t="str">
        <x:v>Winnipeg</x:v>
      </x:c>
      <x:c r="C78" t="n">
        <x:v>46023</x:v>
      </x:c>
      <x:c r="D78" t="str">
        <x:v>Night</x:v>
      </x:c>
      <x:c r="E78" t="n">
        <x:v>24</x:v>
      </x:c>
      <x:c r="F78" t="n">
        <x:v>4</x:v>
      </x:c>
      <x:c r="G78" t="n">
        <x:v>7</x:v>
      </x:c>
      <x:c r="H78" s="20" t="n">
        <x:f>IFERROR((E78-F78)/E78,0)</x:f>
        <x:v>0.8333333333333334</x:v>
      </x:c>
      <x:c r="I78" t="str">
        <x:f>IF(H78&lt;0.9,"ESCALATE",IF(G78&gt;20,"WATCH","OK"))</x:f>
        <x:v>ESCALATE</x:v>
      </x:c>
    </x:row>
    <x:row r="79">
      <x:c r="A79" t="str">
        <x:v>PLT-07</x:v>
      </x:c>
      <x:c r="B79" t="str">
        <x:v>Winnipeg</x:v>
      </x:c>
      <x:c r="C79" t="n">
        <x:v>46054</x:v>
      </x:c>
      <x:c r="D79" t="str">
        <x:v>Day</x:v>
      </x:c>
      <x:c r="E79" t="n">
        <x:v>32</x:v>
      </x:c>
      <x:c r="F79" t="n">
        <x:v>0</x:v>
      </x:c>
      <x:c r="G79" t="n">
        <x:v>21</x:v>
      </x:c>
      <x:c r="H79" s="20" t="n">
        <x:f>IFERROR((E79-F79)/E79,0)</x:f>
        <x:v>1</x:v>
      </x:c>
      <x:c r="I79" t="str">
        <x:f>IF(H79&lt;0.9,"ESCALATE",IF(G79&gt;20,"WATCH","OK"))</x:f>
        <x:v>WATCH</x:v>
      </x:c>
    </x:row>
    <x:row r="80">
      <x:c r="A80" t="str">
        <x:v>PLT-07</x:v>
      </x:c>
      <x:c r="B80" t="str">
        <x:v>Winnipeg</x:v>
      </x:c>
      <x:c r="C80" t="n">
        <x:v>46054</x:v>
      </x:c>
      <x:c r="D80" t="str">
        <x:v>Evening</x:v>
      </x:c>
      <x:c r="E80" t="n">
        <x:v>35</x:v>
      </x:c>
      <x:c r="F80" t="n">
        <x:v>0</x:v>
      </x:c>
      <x:c r="G80" t="n">
        <x:v>10</x:v>
      </x:c>
      <x:c r="H80" s="20" t="n">
        <x:f>IFERROR((E80-F80)/E80,0)</x:f>
        <x:v>1</x:v>
      </x:c>
      <x:c r="I80" t="str">
        <x:f>IF(H80&lt;0.9,"ESCALATE",IF(G80&gt;20,"WATCH","OK"))</x:f>
        <x:v>OK</x:v>
      </x:c>
    </x:row>
    <x:row r="81">
      <x:c r="A81" t="str">
        <x:v>PLT-07</x:v>
      </x:c>
      <x:c r="B81" t="str">
        <x:v>Winnipeg</x:v>
      </x:c>
      <x:c r="C81" t="n">
        <x:v>46054</x:v>
      </x:c>
      <x:c r="D81" t="str">
        <x:v>Night</x:v>
      </x:c>
      <x:c r="E81" t="n">
        <x:v>18</x:v>
      </x:c>
      <x:c r="F81" t="n">
        <x:v>2</x:v>
      </x:c>
      <x:c r="G81" t="n">
        <x:v>19</x:v>
      </x:c>
      <x:c r="H81" s="20" t="n">
        <x:f>IFERROR((E81-F81)/E81,0)</x:f>
        <x:v>0.8888888888888888</x:v>
      </x:c>
      <x:c r="I81" t="str">
        <x:f>IF(H81&lt;0.9,"ESCALATE",IF(G81&gt;20,"WATCH","OK"))</x:f>
        <x:v>ESCALATE</x:v>
      </x:c>
    </x:row>
    <x:row r="82">
      <x:c r="A82" t="str">
        <x:v>PLT-07</x:v>
      </x:c>
      <x:c r="B82" t="str">
        <x:v>Winnipeg</x:v>
      </x:c>
      <x:c r="C82" t="n">
        <x:v>46082</x:v>
      </x:c>
      <x:c r="D82" t="str">
        <x:v>Day</x:v>
      </x:c>
      <x:c r="E82" t="n">
        <x:v>16</x:v>
      </x:c>
      <x:c r="F82" t="n">
        <x:v>0</x:v>
      </x:c>
      <x:c r="G82" t="n">
        <x:v>0</x:v>
      </x:c>
      <x:c r="H82" s="20" t="n">
        <x:f>IFERROR((E82-F82)/E82,0)</x:f>
        <x:v>1</x:v>
      </x:c>
      <x:c r="I82" t="str">
        <x:f>IF(H82&lt;0.9,"ESCALATE",IF(G82&gt;20,"WATCH","OK"))</x:f>
        <x:v>OK</x:v>
      </x:c>
    </x:row>
    <x:row r="83">
      <x:c r="A83" t="str">
        <x:v>PLT-07</x:v>
      </x:c>
      <x:c r="B83" t="str">
        <x:v>Winnipeg</x:v>
      </x:c>
      <x:c r="C83" t="n">
        <x:v>46082</x:v>
      </x:c>
      <x:c r="D83" t="str">
        <x:v>Evening</x:v>
      </x:c>
      <x:c r="E83" t="n">
        <x:v>15</x:v>
      </x:c>
      <x:c r="F83" t="n">
        <x:v>5</x:v>
      </x:c>
      <x:c r="G83" t="n">
        <x:v>3</x:v>
      </x:c>
      <x:c r="H83" s="20" t="n">
        <x:f>IFERROR((E83-F83)/E83,0)</x:f>
        <x:v>0.6666666666666666</x:v>
      </x:c>
      <x:c r="I83" t="str">
        <x:f>IF(H83&lt;0.9,"ESCALATE",IF(G83&gt;20,"WATCH","OK"))</x:f>
        <x:v>ESCALATE</x:v>
      </x:c>
    </x:row>
    <x:row r="84">
      <x:c r="A84" t="str">
        <x:v>PLT-07</x:v>
      </x:c>
      <x:c r="B84" t="str">
        <x:v>Winnipeg</x:v>
      </x:c>
      <x:c r="C84" t="n">
        <x:v>46082</x:v>
      </x:c>
      <x:c r="D84" t="str">
        <x:v>Night</x:v>
      </x:c>
      <x:c r="E84" t="n">
        <x:v>21</x:v>
      </x:c>
      <x:c r="F84" t="n">
        <x:v>1</x:v>
      </x:c>
      <x:c r="G84" t="n">
        <x:v>1</x:v>
      </x:c>
      <x:c r="H84" s="20" t="n">
        <x:f>IFERROR((E84-F84)/E84,0)</x:f>
        <x:v>0.9523809523809523</x:v>
      </x:c>
      <x:c r="I84" t="str">
        <x:f>IF(H84&lt;0.9,"ESCALATE",IF(G84&gt;20,"WATCH","OK"))</x:f>
        <x:v>OK</x:v>
      </x:c>
    </x:row>
    <x:row r="85">
      <x:c r="A85" t="str">
        <x:v>PLT-07</x:v>
      </x:c>
      <x:c r="B85" t="str">
        <x:v>Winnipeg</x:v>
      </x:c>
      <x:c r="C85" t="n">
        <x:v>46113</x:v>
      </x:c>
      <x:c r="D85" t="str">
        <x:v>Day</x:v>
      </x:c>
      <x:c r="E85" t="n">
        <x:v>15</x:v>
      </x:c>
      <x:c r="F85" t="n">
        <x:v>3</x:v>
      </x:c>
      <x:c r="G85" t="n">
        <x:v>23</x:v>
      </x:c>
      <x:c r="H85" s="20" t="n">
        <x:f>IFERROR((E85-F85)/E85,0)</x:f>
        <x:v>0.8</x:v>
      </x:c>
      <x:c r="I85" t="str">
        <x:f>IF(H85&lt;0.9,"ESCALATE",IF(G85&gt;20,"WATCH","OK"))</x:f>
        <x:v>ESCALATE</x:v>
      </x:c>
    </x:row>
    <x:row r="86">
      <x:c r="A86" t="str">
        <x:v>PLT-07</x:v>
      </x:c>
      <x:c r="B86" t="str">
        <x:v>Winnipeg</x:v>
      </x:c>
      <x:c r="C86" t="n">
        <x:v>46113</x:v>
      </x:c>
      <x:c r="D86" t="str">
        <x:v>Evening</x:v>
      </x:c>
      <x:c r="E86" t="n">
        <x:v>24</x:v>
      </x:c>
      <x:c r="F86" t="n">
        <x:v>5</x:v>
      </x:c>
      <x:c r="G86" t="n">
        <x:v>23</x:v>
      </x:c>
      <x:c r="H86" s="20" t="n">
        <x:f>IFERROR((E86-F86)/E86,0)</x:f>
        <x:v>0.7916666666666666</x:v>
      </x:c>
      <x:c r="I86" t="str">
        <x:f>IF(H86&lt;0.9,"ESCALATE",IF(G86&gt;20,"WATCH","OK"))</x:f>
        <x:v>ESCALATE</x:v>
      </x:c>
    </x:row>
    <x:row r="87">
      <x:c r="A87" t="str">
        <x:v>PLT-07</x:v>
      </x:c>
      <x:c r="B87" t="str">
        <x:v>Winnipeg</x:v>
      </x:c>
      <x:c r="C87" t="n">
        <x:v>46113</x:v>
      </x:c>
      <x:c r="D87" t="str">
        <x:v>Night</x:v>
      </x:c>
      <x:c r="E87" t="n">
        <x:v>33</x:v>
      </x:c>
      <x:c r="F87" t="n">
        <x:v>0</x:v>
      </x:c>
      <x:c r="G87" t="n">
        <x:v>6</x:v>
      </x:c>
      <x:c r="H87" s="20" t="n">
        <x:f>IFERROR((E87-F87)/E87,0)</x:f>
        <x:v>1</x:v>
      </x:c>
      <x:c r="I87" t="str">
        <x:f>IF(H87&lt;0.9,"ESCALATE",IF(G87&gt;20,"WATCH","OK"))</x:f>
        <x:v>OK</x:v>
      </x:c>
    </x:row>
    <x:row r="88">
      <x:c r="A88" t="str">
        <x:v>PLT-08</x:v>
      </x:c>
      <x:c r="B88" t="str">
        <x:v>Calgary</x:v>
      </x:c>
      <x:c r="C88" t="n">
        <x:v>46023</x:v>
      </x:c>
      <x:c r="D88" t="str">
        <x:v>Day</x:v>
      </x:c>
      <x:c r="E88" t="n">
        <x:v>31</x:v>
      </x:c>
      <x:c r="F88" t="n">
        <x:v>1</x:v>
      </x:c>
      <x:c r="G88" t="n">
        <x:v>2</x:v>
      </x:c>
      <x:c r="H88" s="20" t="n">
        <x:f>IFERROR((E88-F88)/E88,0)</x:f>
        <x:v>0.967741935483871</x:v>
      </x:c>
      <x:c r="I88" t="str">
        <x:f>IF(H88&lt;0.9,"ESCALATE",IF(G88&gt;20,"WATCH","OK"))</x:f>
        <x:v>OK</x:v>
      </x:c>
    </x:row>
    <x:row r="89">
      <x:c r="A89" t="str">
        <x:v>PLT-08</x:v>
      </x:c>
      <x:c r="B89" t="str">
        <x:v>Calgary</x:v>
      </x:c>
      <x:c r="C89" t="n">
        <x:v>46023</x:v>
      </x:c>
      <x:c r="D89" t="str">
        <x:v>Evening</x:v>
      </x:c>
      <x:c r="E89" t="n">
        <x:v>15</x:v>
      </x:c>
      <x:c r="F89" t="n">
        <x:v>4</x:v>
      </x:c>
      <x:c r="G89" t="n">
        <x:v>11</x:v>
      </x:c>
      <x:c r="H89" s="20" t="n">
        <x:f>IFERROR((E89-F89)/E89,0)</x:f>
        <x:v>0.7333333333333333</x:v>
      </x:c>
      <x:c r="I89" t="str">
        <x:f>IF(H89&lt;0.9,"ESCALATE",IF(G89&gt;20,"WATCH","OK"))</x:f>
        <x:v>ESCALATE</x:v>
      </x:c>
    </x:row>
    <x:row r="90">
      <x:c r="A90" t="str">
        <x:v>PLT-08</x:v>
      </x:c>
      <x:c r="B90" t="str">
        <x:v>Calgary</x:v>
      </x:c>
      <x:c r="C90" t="n">
        <x:v>46023</x:v>
      </x:c>
      <x:c r="D90" t="str">
        <x:v>Night</x:v>
      </x:c>
      <x:c r="E90" t="n">
        <x:v>31</x:v>
      </x:c>
      <x:c r="F90" t="n">
        <x:v>0</x:v>
      </x:c>
      <x:c r="G90" t="n">
        <x:v>4</x:v>
      </x:c>
      <x:c r="H90" s="20" t="n">
        <x:f>IFERROR((E90-F90)/E90,0)</x:f>
        <x:v>1</x:v>
      </x:c>
      <x:c r="I90" t="str">
        <x:f>IF(H90&lt;0.9,"ESCALATE",IF(G90&gt;20,"WATCH","OK"))</x:f>
        <x:v>OK</x:v>
      </x:c>
    </x:row>
    <x:row r="91">
      <x:c r="A91" t="str">
        <x:v>PLT-08</x:v>
      </x:c>
      <x:c r="B91" t="str">
        <x:v>Calgary</x:v>
      </x:c>
      <x:c r="C91" t="n">
        <x:v>46054</x:v>
      </x:c>
      <x:c r="D91" t="str">
        <x:v>Day</x:v>
      </x:c>
      <x:c r="E91" t="n">
        <x:v>26</x:v>
      </x:c>
      <x:c r="F91" t="n">
        <x:v>1</x:v>
      </x:c>
      <x:c r="G91" t="n">
        <x:v>31</x:v>
      </x:c>
      <x:c r="H91" s="20" t="n">
        <x:f>IFERROR((E91-F91)/E91,0)</x:f>
        <x:v>0.9615384615384616</x:v>
      </x:c>
      <x:c r="I91" t="str">
        <x:f>IF(H91&lt;0.9,"ESCALATE",IF(G91&gt;20,"WATCH","OK"))</x:f>
        <x:v>WATCH</x:v>
      </x:c>
    </x:row>
    <x:row r="92">
      <x:c r="A92" t="str">
        <x:v>PLT-08</x:v>
      </x:c>
      <x:c r="B92" t="str">
        <x:v>Calgary</x:v>
      </x:c>
      <x:c r="C92" t="n">
        <x:v>46054</x:v>
      </x:c>
      <x:c r="D92" t="str">
        <x:v>Evening</x:v>
      </x:c>
      <x:c r="E92" t="n">
        <x:v>31</x:v>
      </x:c>
      <x:c r="F92" t="n">
        <x:v>3</x:v>
      </x:c>
      <x:c r="G92" t="n">
        <x:v>31</x:v>
      </x:c>
      <x:c r="H92" s="20" t="n">
        <x:f>IFERROR((E92-F92)/E92,0)</x:f>
        <x:v>0.9032258064516129</x:v>
      </x:c>
      <x:c r="I92" t="str">
        <x:f>IF(H92&lt;0.9,"ESCALATE",IF(G92&gt;20,"WATCH","OK"))</x:f>
        <x:v>WATCH</x:v>
      </x:c>
    </x:row>
    <x:row r="93">
      <x:c r="A93" t="str">
        <x:v>PLT-08</x:v>
      </x:c>
      <x:c r="B93" t="str">
        <x:v>Calgary</x:v>
      </x:c>
      <x:c r="C93" t="n">
        <x:v>46054</x:v>
      </x:c>
      <x:c r="D93" t="str">
        <x:v>Night</x:v>
      </x:c>
      <x:c r="E93" t="n">
        <x:v>26</x:v>
      </x:c>
      <x:c r="F93" t="n">
        <x:v>0</x:v>
      </x:c>
      <x:c r="G93" t="n">
        <x:v>14</x:v>
      </x:c>
      <x:c r="H93" s="20" t="n">
        <x:f>IFERROR((E93-F93)/E93,0)</x:f>
        <x:v>1</x:v>
      </x:c>
      <x:c r="I93" t="str">
        <x:f>IF(H93&lt;0.9,"ESCALATE",IF(G93&gt;20,"WATCH","OK"))</x:f>
        <x:v>OK</x:v>
      </x:c>
    </x:row>
    <x:row r="94">
      <x:c r="A94" t="str">
        <x:v>PLT-08</x:v>
      </x:c>
      <x:c r="B94" t="str">
        <x:v>Calgary</x:v>
      </x:c>
      <x:c r="C94" t="n">
        <x:v>46082</x:v>
      </x:c>
      <x:c r="D94" t="str">
        <x:v>Day</x:v>
      </x:c>
      <x:c r="E94" t="n">
        <x:v>17</x:v>
      </x:c>
      <x:c r="F94" t="n">
        <x:v>3</x:v>
      </x:c>
      <x:c r="G94" t="n">
        <x:v>5</x:v>
      </x:c>
      <x:c r="H94" s="20" t="n">
        <x:f>IFERROR((E94-F94)/E94,0)</x:f>
        <x:v>0.8235294117647058</x:v>
      </x:c>
      <x:c r="I94" t="str">
        <x:f>IF(H94&lt;0.9,"ESCALATE",IF(G94&gt;20,"WATCH","OK"))</x:f>
        <x:v>ESCALATE</x:v>
      </x:c>
    </x:row>
    <x:row r="95">
      <x:c r="A95" t="str">
        <x:v>PLT-08</x:v>
      </x:c>
      <x:c r="B95" t="str">
        <x:v>Calgary</x:v>
      </x:c>
      <x:c r="C95" t="n">
        <x:v>46082</x:v>
      </x:c>
      <x:c r="D95" t="str">
        <x:v>Evening</x:v>
      </x:c>
      <x:c r="E95" t="n">
        <x:v>22</x:v>
      </x:c>
      <x:c r="F95" t="n">
        <x:v>4</x:v>
      </x:c>
      <x:c r="G95" t="n">
        <x:v>17</x:v>
      </x:c>
      <x:c r="H95" s="20" t="n">
        <x:f>IFERROR((E95-F95)/E95,0)</x:f>
        <x:v>0.8181818181818182</x:v>
      </x:c>
      <x:c r="I95" t="str">
        <x:f>IF(H95&lt;0.9,"ESCALATE",IF(G95&gt;20,"WATCH","OK"))</x:f>
        <x:v>ESCALATE</x:v>
      </x:c>
    </x:row>
    <x:row r="96">
      <x:c r="A96" t="str">
        <x:v>PLT-08</x:v>
      </x:c>
      <x:c r="B96" t="str">
        <x:v>Calgary</x:v>
      </x:c>
      <x:c r="C96" t="n">
        <x:v>46082</x:v>
      </x:c>
      <x:c r="D96" t="str">
        <x:v>Night</x:v>
      </x:c>
      <x:c r="E96" t="n">
        <x:v>24</x:v>
      </x:c>
      <x:c r="F96" t="n">
        <x:v>2</x:v>
      </x:c>
      <x:c r="G96" t="n">
        <x:v>32</x:v>
      </x:c>
      <x:c r="H96" s="20" t="n">
        <x:f>IFERROR((E96-F96)/E96,0)</x:f>
        <x:v>0.9166666666666666</x:v>
      </x:c>
      <x:c r="I96" t="str">
        <x:f>IF(H96&lt;0.9,"ESCALATE",IF(G96&gt;20,"WATCH","OK"))</x:f>
        <x:v>WATCH</x:v>
      </x:c>
    </x:row>
    <x:row r="97">
      <x:c r="A97" t="str">
        <x:v>PLT-08</x:v>
      </x:c>
      <x:c r="B97" t="str">
        <x:v>Calgary</x:v>
      </x:c>
      <x:c r="C97" t="n">
        <x:v>46113</x:v>
      </x:c>
      <x:c r="D97" t="str">
        <x:v>Day</x:v>
      </x:c>
      <x:c r="E97" t="n">
        <x:v>33</x:v>
      </x:c>
      <x:c r="F97" t="n">
        <x:v>4</x:v>
      </x:c>
      <x:c r="G97" t="n">
        <x:v>10</x:v>
      </x:c>
      <x:c r="H97" s="20" t="n">
        <x:f>IFERROR((E97-F97)/E97,0)</x:f>
        <x:v>0.8787878787878788</x:v>
      </x:c>
      <x:c r="I97" t="str">
        <x:f>IF(H97&lt;0.9,"ESCALATE",IF(G97&gt;20,"WATCH","OK"))</x:f>
        <x:v>ESCALATE</x:v>
      </x:c>
    </x:row>
    <x:row r="98">
      <x:c r="A98" t="str">
        <x:v>PLT-08</x:v>
      </x:c>
      <x:c r="B98" t="str">
        <x:v>Calgary</x:v>
      </x:c>
      <x:c r="C98" t="n">
        <x:v>46113</x:v>
      </x:c>
      <x:c r="D98" t="str">
        <x:v>Evening</x:v>
      </x:c>
      <x:c r="E98" t="n">
        <x:v>18</x:v>
      </x:c>
      <x:c r="F98" t="n">
        <x:v>5</x:v>
      </x:c>
      <x:c r="G98" t="n">
        <x:v>17</x:v>
      </x:c>
      <x:c r="H98" s="20" t="n">
        <x:f>IFERROR((E98-F98)/E98,0)</x:f>
        <x:v>0.7222222222222222</x:v>
      </x:c>
      <x:c r="I98" t="str">
        <x:f>IF(H98&lt;0.9,"ESCALATE",IF(G98&gt;20,"WATCH","OK"))</x:f>
        <x:v>ESCALATE</x:v>
      </x:c>
    </x:row>
    <x:row r="99">
      <x:c r="A99" t="str">
        <x:v>PLT-08</x:v>
      </x:c>
      <x:c r="B99" t="str">
        <x:v>Calgary</x:v>
      </x:c>
      <x:c r="C99" t="n">
        <x:v>46113</x:v>
      </x:c>
      <x:c r="D99" t="str">
        <x:v>Night</x:v>
      </x:c>
      <x:c r="E99" t="n">
        <x:v>27</x:v>
      </x:c>
      <x:c r="F99" t="n">
        <x:v>5</x:v>
      </x:c>
      <x:c r="G99" t="n">
        <x:v>30</x:v>
      </x:c>
      <x:c r="H99" s="20" t="n">
        <x:f>IFERROR((E99-F99)/E99,0)</x:f>
        <x:v>0.8148148148148148</x:v>
      </x:c>
      <x:c r="I99" t="str">
        <x:f>IF(H99&lt;0.9,"ESCALATE",IF(G99&gt;20,"WATCH","OK"))</x:f>
        <x:v>ESCALATE</x:v>
      </x:c>
    </x:row>
    <x:row r="100">
      <x:c r="A100" t="str">
        <x:v>PLT-09</x:v>
      </x:c>
      <x:c r="B100" t="str">
        <x:v>Edmonton</x:v>
      </x:c>
      <x:c r="C100" t="n">
        <x:v>46023</x:v>
      </x:c>
      <x:c r="D100" t="str">
        <x:v>Day</x:v>
      </x:c>
      <x:c r="E100" t="n">
        <x:v>19</x:v>
      </x:c>
      <x:c r="F100" t="n">
        <x:v>5</x:v>
      </x:c>
      <x:c r="G100" t="n">
        <x:v>0</x:v>
      </x:c>
      <x:c r="H100" s="20" t="n">
        <x:f>IFERROR((E100-F100)/E100,0)</x:f>
        <x:v>0.7368421052631579</x:v>
      </x:c>
      <x:c r="I100" t="str">
        <x:f>IF(H100&lt;0.9,"ESCALATE",IF(G100&gt;20,"WATCH","OK"))</x:f>
        <x:v>ESCALATE</x:v>
      </x:c>
    </x:row>
    <x:row r="101">
      <x:c r="A101" t="str">
        <x:v>PLT-09</x:v>
      </x:c>
      <x:c r="B101" t="str">
        <x:v>Edmonton</x:v>
      </x:c>
      <x:c r="C101" t="n">
        <x:v>46023</x:v>
      </x:c>
      <x:c r="D101" t="str">
        <x:v>Evening</x:v>
      </x:c>
      <x:c r="E101" t="n">
        <x:v>23</x:v>
      </x:c>
      <x:c r="F101" t="n">
        <x:v>3</x:v>
      </x:c>
      <x:c r="G101" t="n">
        <x:v>24</x:v>
      </x:c>
      <x:c r="H101" s="20" t="n">
        <x:f>IFERROR((E101-F101)/E101,0)</x:f>
        <x:v>0.8695652173913043</x:v>
      </x:c>
      <x:c r="I101" t="str">
        <x:f>IF(H101&lt;0.9,"ESCALATE",IF(G101&gt;20,"WATCH","OK"))</x:f>
        <x:v>ESCALATE</x:v>
      </x:c>
    </x:row>
    <x:row r="102">
      <x:c r="A102" t="str">
        <x:v>PLT-09</x:v>
      </x:c>
      <x:c r="B102" t="str">
        <x:v>Edmonton</x:v>
      </x:c>
      <x:c r="C102" t="n">
        <x:v>46023</x:v>
      </x:c>
      <x:c r="D102" t="str">
        <x:v>Night</x:v>
      </x:c>
      <x:c r="E102" t="n">
        <x:v>19</x:v>
      </x:c>
      <x:c r="F102" t="n">
        <x:v>3</x:v>
      </x:c>
      <x:c r="G102" t="n">
        <x:v>19</x:v>
      </x:c>
      <x:c r="H102" s="20" t="n">
        <x:f>IFERROR((E102-F102)/E102,0)</x:f>
        <x:v>0.8421052631578947</x:v>
      </x:c>
      <x:c r="I102" t="str">
        <x:f>IF(H102&lt;0.9,"ESCALATE",IF(G102&gt;20,"WATCH","OK"))</x:f>
        <x:v>ESCALATE</x:v>
      </x:c>
    </x:row>
    <x:row r="103">
      <x:c r="A103" t="str">
        <x:v>PLT-09</x:v>
      </x:c>
      <x:c r="B103" t="str">
        <x:v>Edmonton</x:v>
      </x:c>
      <x:c r="C103" t="n">
        <x:v>46054</x:v>
      </x:c>
      <x:c r="D103" t="str">
        <x:v>Day</x:v>
      </x:c>
      <x:c r="E103" t="n">
        <x:v>18</x:v>
      </x:c>
      <x:c r="F103" t="n">
        <x:v>1</x:v>
      </x:c>
      <x:c r="G103" t="n">
        <x:v>22</x:v>
      </x:c>
      <x:c r="H103" s="20" t="n">
        <x:f>IFERROR((E103-F103)/E103,0)</x:f>
        <x:v>0.9444444444444444</x:v>
      </x:c>
      <x:c r="I103" t="str">
        <x:f>IF(H103&lt;0.9,"ESCALATE",IF(G103&gt;20,"WATCH","OK"))</x:f>
        <x:v>WATCH</x:v>
      </x:c>
    </x:row>
    <x:row r="104">
      <x:c r="A104" t="str">
        <x:v>PLT-09</x:v>
      </x:c>
      <x:c r="B104" t="str">
        <x:v>Edmonton</x:v>
      </x:c>
      <x:c r="C104" t="n">
        <x:v>46054</x:v>
      </x:c>
      <x:c r="D104" t="str">
        <x:v>Evening</x:v>
      </x:c>
      <x:c r="E104" t="n">
        <x:v>34</x:v>
      </x:c>
      <x:c r="F104" t="n">
        <x:v>1</x:v>
      </x:c>
      <x:c r="G104" t="n">
        <x:v>23</x:v>
      </x:c>
      <x:c r="H104" s="20" t="n">
        <x:f>IFERROR((E104-F104)/E104,0)</x:f>
        <x:v>0.9705882352941176</x:v>
      </x:c>
      <x:c r="I104" t="str">
        <x:f>IF(H104&lt;0.9,"ESCALATE",IF(G104&gt;20,"WATCH","OK"))</x:f>
        <x:v>WATCH</x:v>
      </x:c>
    </x:row>
    <x:row r="105">
      <x:c r="A105" t="str">
        <x:v>PLT-09</x:v>
      </x:c>
      <x:c r="B105" t="str">
        <x:v>Edmonton</x:v>
      </x:c>
      <x:c r="C105" t="n">
        <x:v>46054</x:v>
      </x:c>
      <x:c r="D105" t="str">
        <x:v>Night</x:v>
      </x:c>
      <x:c r="E105" t="n">
        <x:v>33</x:v>
      </x:c>
      <x:c r="F105" t="n">
        <x:v>0</x:v>
      </x:c>
      <x:c r="G105" t="n">
        <x:v>14</x:v>
      </x:c>
      <x:c r="H105" s="20" t="n">
        <x:f>IFERROR((E105-F105)/E105,0)</x:f>
        <x:v>1</x:v>
      </x:c>
      <x:c r="I105" t="str">
        <x:f>IF(H105&lt;0.9,"ESCALATE",IF(G105&gt;20,"WATCH","OK"))</x:f>
        <x:v>OK</x:v>
      </x:c>
    </x:row>
    <x:row r="106">
      <x:c r="A106" t="str">
        <x:v>PLT-09</x:v>
      </x:c>
      <x:c r="B106" t="str">
        <x:v>Edmonton</x:v>
      </x:c>
      <x:c r="C106" t="n">
        <x:v>46082</x:v>
      </x:c>
      <x:c r="D106" t="str">
        <x:v>Day</x:v>
      </x:c>
      <x:c r="E106" t="n">
        <x:v>26</x:v>
      </x:c>
      <x:c r="F106" t="n">
        <x:v>2</x:v>
      </x:c>
      <x:c r="G106" t="n">
        <x:v>7</x:v>
      </x:c>
      <x:c r="H106" s="20" t="n">
        <x:f>IFERROR((E106-F106)/E106,0)</x:f>
        <x:v>0.9230769230769231</x:v>
      </x:c>
      <x:c r="I106" t="str">
        <x:f>IF(H106&lt;0.9,"ESCALATE",IF(G106&gt;20,"WATCH","OK"))</x:f>
        <x:v>OK</x:v>
      </x:c>
    </x:row>
    <x:row r="107">
      <x:c r="A107" t="str">
        <x:v>PLT-09</x:v>
      </x:c>
      <x:c r="B107" t="str">
        <x:v>Edmonton</x:v>
      </x:c>
      <x:c r="C107" t="n">
        <x:v>46082</x:v>
      </x:c>
      <x:c r="D107" t="str">
        <x:v>Evening</x:v>
      </x:c>
      <x:c r="E107" t="n">
        <x:v>28</x:v>
      </x:c>
      <x:c r="F107" t="n">
        <x:v>2</x:v>
      </x:c>
      <x:c r="G107" t="n">
        <x:v>25</x:v>
      </x:c>
      <x:c r="H107" s="20" t="n">
        <x:f>IFERROR((E107-F107)/E107,0)</x:f>
        <x:v>0.9285714285714286</x:v>
      </x:c>
      <x:c r="I107" t="str">
        <x:f>IF(H107&lt;0.9,"ESCALATE",IF(G107&gt;20,"WATCH","OK"))</x:f>
        <x:v>WATCH</x:v>
      </x:c>
    </x:row>
    <x:row r="108">
      <x:c r="A108" t="str">
        <x:v>PLT-09</x:v>
      </x:c>
      <x:c r="B108" t="str">
        <x:v>Edmonton</x:v>
      </x:c>
      <x:c r="C108" t="n">
        <x:v>46082</x:v>
      </x:c>
      <x:c r="D108" t="str">
        <x:v>Night</x:v>
      </x:c>
      <x:c r="E108" t="n">
        <x:v>34</x:v>
      </x:c>
      <x:c r="F108" t="n">
        <x:v>2</x:v>
      </x:c>
      <x:c r="G108" t="n">
        <x:v>20</x:v>
      </x:c>
      <x:c r="H108" s="20" t="n">
        <x:f>IFERROR((E108-F108)/E108,0)</x:f>
        <x:v>0.9411764705882353</x:v>
      </x:c>
      <x:c r="I108" t="str">
        <x:f>IF(H108&lt;0.9,"ESCALATE",IF(G108&gt;20,"WATCH","OK"))</x:f>
        <x:v>OK</x:v>
      </x:c>
    </x:row>
    <x:row r="109">
      <x:c r="A109" t="str">
        <x:v>PLT-09</x:v>
      </x:c>
      <x:c r="B109" t="str">
        <x:v>Edmonton</x:v>
      </x:c>
      <x:c r="C109" t="n">
        <x:v>46113</x:v>
      </x:c>
      <x:c r="D109" t="str">
        <x:v>Day</x:v>
      </x:c>
      <x:c r="E109" t="n">
        <x:v>30</x:v>
      </x:c>
      <x:c r="F109" t="n">
        <x:v>2</x:v>
      </x:c>
      <x:c r="G109" t="n">
        <x:v>32</x:v>
      </x:c>
      <x:c r="H109" s="20" t="n">
        <x:f>IFERROR((E109-F109)/E109,0)</x:f>
        <x:v>0.9333333333333333</x:v>
      </x:c>
      <x:c r="I109" t="str">
        <x:f>IF(H109&lt;0.9,"ESCALATE",IF(G109&gt;20,"WATCH","OK"))</x:f>
        <x:v>WATCH</x:v>
      </x:c>
    </x:row>
    <x:row r="110">
      <x:c r="A110" t="str">
        <x:v>PLT-09</x:v>
      </x:c>
      <x:c r="B110" t="str">
        <x:v>Edmonton</x:v>
      </x:c>
      <x:c r="C110" t="n">
        <x:v>46113</x:v>
      </x:c>
      <x:c r="D110" t="str">
        <x:v>Evening</x:v>
      </x:c>
      <x:c r="E110" t="n">
        <x:v>34</x:v>
      </x:c>
      <x:c r="F110" t="n">
        <x:v>3</x:v>
      </x:c>
      <x:c r="G110" t="n">
        <x:v>28</x:v>
      </x:c>
      <x:c r="H110" s="20" t="n">
        <x:f>IFERROR((E110-F110)/E110,0)</x:f>
        <x:v>0.9117647058823529</x:v>
      </x:c>
      <x:c r="I110" t="str">
        <x:f>IF(H110&lt;0.9,"ESCALATE",IF(G110&gt;20,"WATCH","OK"))</x:f>
        <x:v>WATCH</x:v>
      </x:c>
    </x:row>
    <x:row r="111">
      <x:c r="A111" t="str">
        <x:v>PLT-09</x:v>
      </x:c>
      <x:c r="B111" t="str">
        <x:v>Edmonton</x:v>
      </x:c>
      <x:c r="C111" t="n">
        <x:v>46113</x:v>
      </x:c>
      <x:c r="D111" t="str">
        <x:v>Night</x:v>
      </x:c>
      <x:c r="E111" t="n">
        <x:v>35</x:v>
      </x:c>
      <x:c r="F111" t="n">
        <x:v>2</x:v>
      </x:c>
      <x:c r="G111" t="n">
        <x:v>2</x:v>
      </x:c>
      <x:c r="H111" s="20" t="n">
        <x:f>IFERROR((E111-F111)/E111,0)</x:f>
        <x:v>0.9428571428571428</x:v>
      </x:c>
      <x:c r="I111" t="str">
        <x:f>IF(H111&lt;0.9,"ESCALATE",IF(G111&gt;20,"WATCH","OK"))</x:f>
        <x:v>OK</x:v>
      </x:c>
    </x:row>
    <x:row r="112">
      <x:c r="A112" t="str">
        <x:v>PLT-10</x:v>
      </x:c>
      <x:c r="B112" t="str">
        <x:v>Vancouver</x:v>
      </x:c>
      <x:c r="C112" t="n">
        <x:v>46023</x:v>
      </x:c>
      <x:c r="D112" t="str">
        <x:v>Day</x:v>
      </x:c>
      <x:c r="E112" t="n">
        <x:v>23</x:v>
      </x:c>
      <x:c r="F112" t="n">
        <x:v>4</x:v>
      </x:c>
      <x:c r="G112" t="n">
        <x:v>1</x:v>
      </x:c>
      <x:c r="H112" s="20" t="n">
        <x:f>IFERROR((E112-F112)/E112,0)</x:f>
        <x:v>0.8260869565217391</x:v>
      </x:c>
      <x:c r="I112" t="str">
        <x:f>IF(H112&lt;0.9,"ESCALATE",IF(G112&gt;20,"WATCH","OK"))</x:f>
        <x:v>ESCALATE</x:v>
      </x:c>
    </x:row>
    <x:row r="113">
      <x:c r="A113" t="str">
        <x:v>PLT-10</x:v>
      </x:c>
      <x:c r="B113" t="str">
        <x:v>Vancouver</x:v>
      </x:c>
      <x:c r="C113" t="n">
        <x:v>46023</x:v>
      </x:c>
      <x:c r="D113" t="str">
        <x:v>Evening</x:v>
      </x:c>
      <x:c r="E113" t="n">
        <x:v>15</x:v>
      </x:c>
      <x:c r="F113" t="n">
        <x:v>4</x:v>
      </x:c>
      <x:c r="G113" t="n">
        <x:v>32</x:v>
      </x:c>
      <x:c r="H113" s="20" t="n">
        <x:f>IFERROR((E113-F113)/E113,0)</x:f>
        <x:v>0.7333333333333333</x:v>
      </x:c>
      <x:c r="I113" t="str">
        <x:f>IF(H113&lt;0.9,"ESCALATE",IF(G113&gt;20,"WATCH","OK"))</x:f>
        <x:v>ESCALATE</x:v>
      </x:c>
    </x:row>
    <x:row r="114">
      <x:c r="A114" t="str">
        <x:v>PLT-10</x:v>
      </x:c>
      <x:c r="B114" t="str">
        <x:v>Vancouver</x:v>
      </x:c>
      <x:c r="C114" t="n">
        <x:v>46023</x:v>
      </x:c>
      <x:c r="D114" t="str">
        <x:v>Night</x:v>
      </x:c>
      <x:c r="E114" t="n">
        <x:v>35</x:v>
      </x:c>
      <x:c r="F114" t="n">
        <x:v>2</x:v>
      </x:c>
      <x:c r="G114" t="n">
        <x:v>1</x:v>
      </x:c>
      <x:c r="H114" s="20" t="n">
        <x:f>IFERROR((E114-F114)/E114,0)</x:f>
        <x:v>0.9428571428571428</x:v>
      </x:c>
      <x:c r="I114" t="str">
        <x:f>IF(H114&lt;0.9,"ESCALATE",IF(G114&gt;20,"WATCH","OK"))</x:f>
        <x:v>OK</x:v>
      </x:c>
    </x:row>
    <x:row r="115">
      <x:c r="A115" t="str">
        <x:v>PLT-10</x:v>
      </x:c>
      <x:c r="B115" t="str">
        <x:v>Vancouver</x:v>
      </x:c>
      <x:c r="C115" t="n">
        <x:v>46054</x:v>
      </x:c>
      <x:c r="D115" t="str">
        <x:v>Day</x:v>
      </x:c>
      <x:c r="E115" t="n">
        <x:v>26</x:v>
      </x:c>
      <x:c r="F115" t="n">
        <x:v>1</x:v>
      </x:c>
      <x:c r="G115" t="n">
        <x:v>9</x:v>
      </x:c>
      <x:c r="H115" s="20" t="n">
        <x:f>IFERROR((E115-F115)/E115,0)</x:f>
        <x:v>0.9615384615384616</x:v>
      </x:c>
      <x:c r="I115" t="str">
        <x:f>IF(H115&lt;0.9,"ESCALATE",IF(G115&gt;20,"WATCH","OK"))</x:f>
        <x:v>OK</x:v>
      </x:c>
    </x:row>
    <x:row r="116">
      <x:c r="A116" t="str">
        <x:v>PLT-10</x:v>
      </x:c>
      <x:c r="B116" t="str">
        <x:v>Vancouver</x:v>
      </x:c>
      <x:c r="C116" t="n">
        <x:v>46054</x:v>
      </x:c>
      <x:c r="D116" t="str">
        <x:v>Evening</x:v>
      </x:c>
      <x:c r="E116" t="n">
        <x:v>18</x:v>
      </x:c>
      <x:c r="F116" t="n">
        <x:v>1</x:v>
      </x:c>
      <x:c r="G116" t="n">
        <x:v>23</x:v>
      </x:c>
      <x:c r="H116" s="20" t="n">
        <x:f>IFERROR((E116-F116)/E116,0)</x:f>
        <x:v>0.9444444444444444</x:v>
      </x:c>
      <x:c r="I116" t="str">
        <x:f>IF(H116&lt;0.9,"ESCALATE",IF(G116&gt;20,"WATCH","OK"))</x:f>
        <x:v>WATCH</x:v>
      </x:c>
    </x:row>
    <x:row r="117">
      <x:c r="A117" t="str">
        <x:v>PLT-10</x:v>
      </x:c>
      <x:c r="B117" t="str">
        <x:v>Vancouver</x:v>
      </x:c>
      <x:c r="C117" t="n">
        <x:v>46054</x:v>
      </x:c>
      <x:c r="D117" t="str">
        <x:v>Night</x:v>
      </x:c>
      <x:c r="E117" t="n">
        <x:v>25</x:v>
      </x:c>
      <x:c r="F117" t="n">
        <x:v>4</x:v>
      </x:c>
      <x:c r="G117" t="n">
        <x:v>28</x:v>
      </x:c>
      <x:c r="H117" s="20" t="n">
        <x:f>IFERROR((E117-F117)/E117,0)</x:f>
        <x:v>0.84</x:v>
      </x:c>
      <x:c r="I117" t="str">
        <x:f>IF(H117&lt;0.9,"ESCALATE",IF(G117&gt;20,"WATCH","OK"))</x:f>
        <x:v>ESCALATE</x:v>
      </x:c>
    </x:row>
    <x:row r="118">
      <x:c r="A118" t="str">
        <x:v>PLT-10</x:v>
      </x:c>
      <x:c r="B118" t="str">
        <x:v>Vancouver</x:v>
      </x:c>
      <x:c r="C118" t="n">
        <x:v>46082</x:v>
      </x:c>
      <x:c r="D118" t="str">
        <x:v>Day</x:v>
      </x:c>
      <x:c r="E118" t="n">
        <x:v>15</x:v>
      </x:c>
      <x:c r="F118" t="n">
        <x:v>4</x:v>
      </x:c>
      <x:c r="G118" t="n">
        <x:v>11</x:v>
      </x:c>
      <x:c r="H118" s="20" t="n">
        <x:f>IFERROR((E118-F118)/E118,0)</x:f>
        <x:v>0.7333333333333333</x:v>
      </x:c>
      <x:c r="I118" t="str">
        <x:f>IF(H118&lt;0.9,"ESCALATE",IF(G118&gt;20,"WATCH","OK"))</x:f>
        <x:v>ESCALATE</x:v>
      </x:c>
    </x:row>
    <x:row r="119">
      <x:c r="A119" t="str">
        <x:v>PLT-10</x:v>
      </x:c>
      <x:c r="B119" t="str">
        <x:v>Vancouver</x:v>
      </x:c>
      <x:c r="C119" t="n">
        <x:v>46082</x:v>
      </x:c>
      <x:c r="D119" t="str">
        <x:v>Evening</x:v>
      </x:c>
      <x:c r="E119" t="n">
        <x:v>24</x:v>
      </x:c>
      <x:c r="F119" t="n">
        <x:v>1</x:v>
      </x:c>
      <x:c r="G119" t="n">
        <x:v>25</x:v>
      </x:c>
      <x:c r="H119" s="20" t="n">
        <x:f>IFERROR((E119-F119)/E119,0)</x:f>
        <x:v>0.9583333333333334</x:v>
      </x:c>
      <x:c r="I119" t="str">
        <x:f>IF(H119&lt;0.9,"ESCALATE",IF(G119&gt;20,"WATCH","OK"))</x:f>
        <x:v>WATCH</x:v>
      </x:c>
    </x:row>
    <x:row r="120">
      <x:c r="A120" t="str">
        <x:v>PLT-10</x:v>
      </x:c>
      <x:c r="B120" t="str">
        <x:v>Vancouver</x:v>
      </x:c>
      <x:c r="C120" t="n">
        <x:v>46082</x:v>
      </x:c>
      <x:c r="D120" t="str">
        <x:v>Night</x:v>
      </x:c>
      <x:c r="E120" t="n">
        <x:v>35</x:v>
      </x:c>
      <x:c r="F120" t="n">
        <x:v>3</x:v>
      </x:c>
      <x:c r="G120" t="n">
        <x:v>13</x:v>
      </x:c>
      <x:c r="H120" s="20" t="n">
        <x:f>IFERROR((E120-F120)/E120,0)</x:f>
        <x:v>0.9142857142857143</x:v>
      </x:c>
      <x:c r="I120" t="str">
        <x:f>IF(H120&lt;0.9,"ESCALATE",IF(G120&gt;20,"WATCH","OK"))</x:f>
        <x:v>OK</x:v>
      </x:c>
    </x:row>
    <x:row r="121">
      <x:c r="A121" t="str">
        <x:v>PLT-10</x:v>
      </x:c>
      <x:c r="B121" t="str">
        <x:v>Vancouver</x:v>
      </x:c>
      <x:c r="C121" t="n">
        <x:v>46113</x:v>
      </x:c>
      <x:c r="D121" t="str">
        <x:v>Day</x:v>
      </x:c>
      <x:c r="E121" t="n">
        <x:v>24</x:v>
      </x:c>
      <x:c r="F121" t="n">
        <x:v>5</x:v>
      </x:c>
      <x:c r="G121" t="n">
        <x:v>1</x:v>
      </x:c>
      <x:c r="H121" s="20" t="n">
        <x:f>IFERROR((E121-F121)/E121,0)</x:f>
        <x:v>0.7916666666666666</x:v>
      </x:c>
      <x:c r="I121" t="str">
        <x:f>IF(H121&lt;0.9,"ESCALATE",IF(G121&gt;20,"WATCH","OK"))</x:f>
        <x:v>ESCALATE</x:v>
      </x:c>
    </x:row>
    <x:row r="122">
      <x:c r="A122" t="str">
        <x:v>PLT-10</x:v>
      </x:c>
      <x:c r="B122" t="str">
        <x:v>Vancouver</x:v>
      </x:c>
      <x:c r="C122" t="n">
        <x:v>46113</x:v>
      </x:c>
      <x:c r="D122" t="str">
        <x:v>Evening</x:v>
      </x:c>
      <x:c r="E122" t="n">
        <x:v>17</x:v>
      </x:c>
      <x:c r="F122" t="n">
        <x:v>1</x:v>
      </x:c>
      <x:c r="G122" t="n">
        <x:v>29</x:v>
      </x:c>
      <x:c r="H122" s="20" t="n">
        <x:f>IFERROR((E122-F122)/E122,0)</x:f>
        <x:v>0.9411764705882353</x:v>
      </x:c>
      <x:c r="I122" t="str">
        <x:f>IF(H122&lt;0.9,"ESCALATE",IF(G122&gt;20,"WATCH","OK"))</x:f>
        <x:v>WATCH</x:v>
      </x:c>
    </x:row>
    <x:row r="123">
      <x:c r="A123" t="str">
        <x:v>PLT-10</x:v>
      </x:c>
      <x:c r="B123" t="str">
        <x:v>Vancouver</x:v>
      </x:c>
      <x:c r="C123" t="n">
        <x:v>46113</x:v>
      </x:c>
      <x:c r="D123" t="str">
        <x:v>Night</x:v>
      </x:c>
      <x:c r="E123" t="n">
        <x:v>30</x:v>
      </x:c>
      <x:c r="F123" t="n">
        <x:v>4</x:v>
      </x:c>
      <x:c r="G123" t="n">
        <x:v>14</x:v>
      </x:c>
      <x:c r="H123" s="20" t="n">
        <x:f>IFERROR((E123-F123)/E123,0)</x:f>
        <x:v>0.8666666666666667</x:v>
      </x:c>
      <x:c r="I123" t="str">
        <x:f>IF(H123&lt;0.9,"ESCALATE",IF(G123&gt;20,"WATCH","OK"))</x:f>
        <x:v>ESCALATE</x:v>
      </x:c>
    </x:row>
    <x:row r="124">
      <x:c r="A124" t="str">
        <x:v>PLT-11</x:v>
      </x:c>
      <x:c r="B124" t="str">
        <x:v>Halifax</x:v>
      </x:c>
      <x:c r="C124" t="n">
        <x:v>46023</x:v>
      </x:c>
      <x:c r="D124" t="str">
        <x:v>Day</x:v>
      </x:c>
      <x:c r="E124" t="n">
        <x:v>18</x:v>
      </x:c>
      <x:c r="F124" t="n">
        <x:v>3</x:v>
      </x:c>
      <x:c r="G124" t="n">
        <x:v>28</x:v>
      </x:c>
      <x:c r="H124" s="20" t="n">
        <x:f>IFERROR((E124-F124)/E124,0)</x:f>
        <x:v>0.8333333333333334</x:v>
      </x:c>
      <x:c r="I124" t="str">
        <x:f>IF(H124&lt;0.9,"ESCALATE",IF(G124&gt;20,"WATCH","OK"))</x:f>
        <x:v>ESCALATE</x:v>
      </x:c>
    </x:row>
    <x:row r="125">
      <x:c r="A125" t="str">
        <x:v>PLT-11</x:v>
      </x:c>
      <x:c r="B125" t="str">
        <x:v>Halifax</x:v>
      </x:c>
      <x:c r="C125" t="n">
        <x:v>46023</x:v>
      </x:c>
      <x:c r="D125" t="str">
        <x:v>Evening</x:v>
      </x:c>
      <x:c r="E125" t="n">
        <x:v>29</x:v>
      </x:c>
      <x:c r="F125" t="n">
        <x:v>5</x:v>
      </x:c>
      <x:c r="G125" t="n">
        <x:v>2</x:v>
      </x:c>
      <x:c r="H125" s="20" t="n">
        <x:f>IFERROR((E125-F125)/E125,0)</x:f>
        <x:v>0.8275862068965517</x:v>
      </x:c>
      <x:c r="I125" t="str">
        <x:f>IF(H125&lt;0.9,"ESCALATE",IF(G125&gt;20,"WATCH","OK"))</x:f>
        <x:v>ESCALATE</x:v>
      </x:c>
    </x:row>
    <x:row r="126">
      <x:c r="A126" t="str">
        <x:v>PLT-11</x:v>
      </x:c>
      <x:c r="B126" t="str">
        <x:v>Halifax</x:v>
      </x:c>
      <x:c r="C126" t="n">
        <x:v>46023</x:v>
      </x:c>
      <x:c r="D126" t="str">
        <x:v>Night</x:v>
      </x:c>
      <x:c r="E126" t="n">
        <x:v>29</x:v>
      </x:c>
      <x:c r="F126" t="n">
        <x:v>0</x:v>
      </x:c>
      <x:c r="G126" t="n">
        <x:v>26</x:v>
      </x:c>
      <x:c r="H126" s="20" t="n">
        <x:f>IFERROR((E126-F126)/E126,0)</x:f>
        <x:v>1</x:v>
      </x:c>
      <x:c r="I126" t="str">
        <x:f>IF(H126&lt;0.9,"ESCALATE",IF(G126&gt;20,"WATCH","OK"))</x:f>
        <x:v>WATCH</x:v>
      </x:c>
    </x:row>
    <x:row r="127">
      <x:c r="A127" t="str">
        <x:v>PLT-11</x:v>
      </x:c>
      <x:c r="B127" t="str">
        <x:v>Halifax</x:v>
      </x:c>
      <x:c r="C127" t="n">
        <x:v>46054</x:v>
      </x:c>
      <x:c r="D127" t="str">
        <x:v>Day</x:v>
      </x:c>
      <x:c r="E127" t="n">
        <x:v>29</x:v>
      </x:c>
      <x:c r="F127" t="n">
        <x:v>4</x:v>
      </x:c>
      <x:c r="G127" t="n">
        <x:v>6</x:v>
      </x:c>
      <x:c r="H127" s="20" t="n">
        <x:f>IFERROR((E127-F127)/E127,0)</x:f>
        <x:v>0.8620689655172413</x:v>
      </x:c>
      <x:c r="I127" t="str">
        <x:f>IF(H127&lt;0.9,"ESCALATE",IF(G127&gt;20,"WATCH","OK"))</x:f>
        <x:v>ESCALATE</x:v>
      </x:c>
    </x:row>
    <x:row r="128">
      <x:c r="A128" t="str">
        <x:v>PLT-11</x:v>
      </x:c>
      <x:c r="B128" t="str">
        <x:v>Halifax</x:v>
      </x:c>
      <x:c r="C128" t="n">
        <x:v>46054</x:v>
      </x:c>
      <x:c r="D128" t="str">
        <x:v>Evening</x:v>
      </x:c>
      <x:c r="E128" t="n">
        <x:v>25</x:v>
      </x:c>
      <x:c r="F128" t="n">
        <x:v>1</x:v>
      </x:c>
      <x:c r="G128" t="n">
        <x:v>1</x:v>
      </x:c>
      <x:c r="H128" s="20" t="n">
        <x:f>IFERROR((E128-F128)/E128,0)</x:f>
        <x:v>0.96</x:v>
      </x:c>
      <x:c r="I128" t="str">
        <x:f>IF(H128&lt;0.9,"ESCALATE",IF(G128&gt;20,"WATCH","OK"))</x:f>
        <x:v>OK</x:v>
      </x:c>
    </x:row>
    <x:row r="129">
      <x:c r="A129" t="str">
        <x:v>PLT-11</x:v>
      </x:c>
      <x:c r="B129" t="str">
        <x:v>Halifax</x:v>
      </x:c>
      <x:c r="C129" t="n">
        <x:v>46054</x:v>
      </x:c>
      <x:c r="D129" t="str">
        <x:v>Night</x:v>
      </x:c>
      <x:c r="E129" t="n">
        <x:v>19</x:v>
      </x:c>
      <x:c r="F129" t="n">
        <x:v>1</x:v>
      </x:c>
      <x:c r="G129" t="n">
        <x:v>20</x:v>
      </x:c>
      <x:c r="H129" s="20" t="n">
        <x:f>IFERROR((E129-F129)/E129,0)</x:f>
        <x:v>0.9473684210526315</x:v>
      </x:c>
      <x:c r="I129" t="str">
        <x:f>IF(H129&lt;0.9,"ESCALATE",IF(G129&gt;20,"WATCH","OK"))</x:f>
        <x:v>OK</x:v>
      </x:c>
    </x:row>
    <x:row r="130">
      <x:c r="A130" t="str">
        <x:v>PLT-11</x:v>
      </x:c>
      <x:c r="B130" t="str">
        <x:v>Halifax</x:v>
      </x:c>
      <x:c r="C130" t="n">
        <x:v>46082</x:v>
      </x:c>
      <x:c r="D130" t="str">
        <x:v>Day</x:v>
      </x:c>
      <x:c r="E130" t="n">
        <x:v>29</x:v>
      </x:c>
      <x:c r="F130" t="n">
        <x:v>0</x:v>
      </x:c>
      <x:c r="G130" t="n">
        <x:v>1</x:v>
      </x:c>
      <x:c r="H130" s="20" t="n">
        <x:f>IFERROR((E130-F130)/E130,0)</x:f>
        <x:v>1</x:v>
      </x:c>
      <x:c r="I130" t="str">
        <x:f>IF(H130&lt;0.9,"ESCALATE",IF(G130&gt;20,"WATCH","OK"))</x:f>
        <x:v>OK</x:v>
      </x:c>
    </x:row>
    <x:row r="131">
      <x:c r="A131" t="str">
        <x:v>PLT-11</x:v>
      </x:c>
      <x:c r="B131" t="str">
        <x:v>Halifax</x:v>
      </x:c>
      <x:c r="C131" t="n">
        <x:v>46082</x:v>
      </x:c>
      <x:c r="D131" t="str">
        <x:v>Evening</x:v>
      </x:c>
      <x:c r="E131" t="n">
        <x:v>32</x:v>
      </x:c>
      <x:c r="F131" t="n">
        <x:v>2</x:v>
      </x:c>
      <x:c r="G131" t="n">
        <x:v>24</x:v>
      </x:c>
      <x:c r="H131" s="20" t="n">
        <x:f>IFERROR((E131-F131)/E131,0)</x:f>
        <x:v>0.9375</x:v>
      </x:c>
      <x:c r="I131" t="str">
        <x:f>IF(H131&lt;0.9,"ESCALATE",IF(G131&gt;20,"WATCH","OK"))</x:f>
        <x:v>WATCH</x:v>
      </x:c>
    </x:row>
    <x:row r="132">
      <x:c r="A132" t="str">
        <x:v>PLT-11</x:v>
      </x:c>
      <x:c r="B132" t="str">
        <x:v>Halifax</x:v>
      </x:c>
      <x:c r="C132" t="n">
        <x:v>46082</x:v>
      </x:c>
      <x:c r="D132" t="str">
        <x:v>Night</x:v>
      </x:c>
      <x:c r="E132" t="n">
        <x:v>27</x:v>
      </x:c>
      <x:c r="F132" t="n">
        <x:v>3</x:v>
      </x:c>
      <x:c r="G132" t="n">
        <x:v>21</x:v>
      </x:c>
      <x:c r="H132" s="20" t="n">
        <x:f>IFERROR((E132-F132)/E132,0)</x:f>
        <x:v>0.8888888888888888</x:v>
      </x:c>
      <x:c r="I132" t="str">
        <x:f>IF(H132&lt;0.9,"ESCALATE",IF(G132&gt;20,"WATCH","OK"))</x:f>
        <x:v>ESCALATE</x:v>
      </x:c>
    </x:row>
    <x:row r="133">
      <x:c r="A133" t="str">
        <x:v>PLT-11</x:v>
      </x:c>
      <x:c r="B133" t="str">
        <x:v>Halifax</x:v>
      </x:c>
      <x:c r="C133" t="n">
        <x:v>46113</x:v>
      </x:c>
      <x:c r="D133" t="str">
        <x:v>Day</x:v>
      </x:c>
      <x:c r="E133" t="n">
        <x:v>20</x:v>
      </x:c>
      <x:c r="F133" t="n">
        <x:v>5</x:v>
      </x:c>
      <x:c r="G133" t="n">
        <x:v>8</x:v>
      </x:c>
      <x:c r="H133" s="20" t="n">
        <x:f>IFERROR((E133-F133)/E133,0)</x:f>
        <x:v>0.75</x:v>
      </x:c>
      <x:c r="I133" t="str">
        <x:f>IF(H133&lt;0.9,"ESCALATE",IF(G133&gt;20,"WATCH","OK"))</x:f>
        <x:v>ESCALATE</x:v>
      </x:c>
    </x:row>
    <x:row r="134">
      <x:c r="A134" t="str">
        <x:v>PLT-11</x:v>
      </x:c>
      <x:c r="B134" t="str">
        <x:v>Halifax</x:v>
      </x:c>
      <x:c r="C134" t="n">
        <x:v>46113</x:v>
      </x:c>
      <x:c r="D134" t="str">
        <x:v>Evening</x:v>
      </x:c>
      <x:c r="E134" t="n">
        <x:v>27</x:v>
      </x:c>
      <x:c r="F134" t="n">
        <x:v>1</x:v>
      </x:c>
      <x:c r="G134" t="n">
        <x:v>26</x:v>
      </x:c>
      <x:c r="H134" s="20" t="n">
        <x:f>IFERROR((E134-F134)/E134,0)</x:f>
        <x:v>0.9629629629629629</x:v>
      </x:c>
      <x:c r="I134" t="str">
        <x:f>IF(H134&lt;0.9,"ESCALATE",IF(G134&gt;20,"WATCH","OK"))</x:f>
        <x:v>WATCH</x:v>
      </x:c>
    </x:row>
    <x:row r="135">
      <x:c r="A135" t="str">
        <x:v>PLT-11</x:v>
      </x:c>
      <x:c r="B135" t="str">
        <x:v>Halifax</x:v>
      </x:c>
      <x:c r="C135" t="n">
        <x:v>46113</x:v>
      </x:c>
      <x:c r="D135" t="str">
        <x:v>Night</x:v>
      </x:c>
      <x:c r="E135" t="n">
        <x:v>25</x:v>
      </x:c>
      <x:c r="F135" t="n">
        <x:v>0</x:v>
      </x:c>
      <x:c r="G135" t="n">
        <x:v>12</x:v>
      </x:c>
      <x:c r="H135" s="20" t="n">
        <x:f>IFERROR((E135-F135)/E135,0)</x:f>
        <x:v>1</x:v>
      </x:c>
      <x:c r="I135" t="str">
        <x:f>IF(H135&lt;0.9,"ESCALATE",IF(G135&gt;20,"WATCH","OK"))</x:f>
        <x:v>OK</x:v>
      </x:c>
    </x:row>
    <x:row r="136">
      <x:c r="A136" t="str">
        <x:v>PLT-12</x:v>
      </x:c>
      <x:c r="B136" t="str">
        <x:v>Saskatoon</x:v>
      </x:c>
      <x:c r="C136" t="n">
        <x:v>46023</x:v>
      </x:c>
      <x:c r="D136" t="str">
        <x:v>Day</x:v>
      </x:c>
      <x:c r="E136" t="n">
        <x:v>31</x:v>
      </x:c>
      <x:c r="F136" t="n">
        <x:v>0</x:v>
      </x:c>
      <x:c r="G136" t="n">
        <x:v>11</x:v>
      </x:c>
      <x:c r="H136" s="20" t="n">
        <x:f>IFERROR((E136-F136)/E136,0)</x:f>
        <x:v>1</x:v>
      </x:c>
      <x:c r="I136" t="str">
        <x:f>IF(H136&lt;0.9,"ESCALATE",IF(G136&gt;20,"WATCH","OK"))</x:f>
        <x:v>OK</x:v>
      </x:c>
    </x:row>
    <x:row r="137">
      <x:c r="A137" t="str">
        <x:v>PLT-12</x:v>
      </x:c>
      <x:c r="B137" t="str">
        <x:v>Saskatoon</x:v>
      </x:c>
      <x:c r="C137" t="n">
        <x:v>46023</x:v>
      </x:c>
      <x:c r="D137" t="str">
        <x:v>Evening</x:v>
      </x:c>
      <x:c r="E137" t="n">
        <x:v>17</x:v>
      </x:c>
      <x:c r="F137" t="n">
        <x:v>2</x:v>
      </x:c>
      <x:c r="G137" t="n">
        <x:v>14</x:v>
      </x:c>
      <x:c r="H137" s="20" t="n">
        <x:f>IFERROR((E137-F137)/E137,0)</x:f>
        <x:v>0.8823529411764706</x:v>
      </x:c>
      <x:c r="I137" t="str">
        <x:f>IF(H137&lt;0.9,"ESCALATE",IF(G137&gt;20,"WATCH","OK"))</x:f>
        <x:v>ESCALATE</x:v>
      </x:c>
    </x:row>
    <x:row r="138">
      <x:c r="A138" t="str">
        <x:v>PLT-12</x:v>
      </x:c>
      <x:c r="B138" t="str">
        <x:v>Saskatoon</x:v>
      </x:c>
      <x:c r="C138" t="n">
        <x:v>46023</x:v>
      </x:c>
      <x:c r="D138" t="str">
        <x:v>Night</x:v>
      </x:c>
      <x:c r="E138" t="n">
        <x:v>19</x:v>
      </x:c>
      <x:c r="F138" t="n">
        <x:v>3</x:v>
      </x:c>
      <x:c r="G138" t="n">
        <x:v>5</x:v>
      </x:c>
      <x:c r="H138" s="20" t="n">
        <x:f>IFERROR((E138-F138)/E138,0)</x:f>
        <x:v>0.8421052631578947</x:v>
      </x:c>
      <x:c r="I138" t="str">
        <x:f>IF(H138&lt;0.9,"ESCALATE",IF(G138&gt;20,"WATCH","OK"))</x:f>
        <x:v>ESCALATE</x:v>
      </x:c>
    </x:row>
    <x:row r="139">
      <x:c r="A139" t="str">
        <x:v>PLT-12</x:v>
      </x:c>
      <x:c r="B139" t="str">
        <x:v>Saskatoon</x:v>
      </x:c>
      <x:c r="C139" t="n">
        <x:v>46054</x:v>
      </x:c>
      <x:c r="D139" t="str">
        <x:v>Day</x:v>
      </x:c>
      <x:c r="E139" t="n">
        <x:v>27</x:v>
      </x:c>
      <x:c r="F139" t="n">
        <x:v>1</x:v>
      </x:c>
      <x:c r="G139" t="n">
        <x:v>5</x:v>
      </x:c>
      <x:c r="H139" s="20" t="n">
        <x:f>IFERROR((E139-F139)/E139,0)</x:f>
        <x:v>0.9629629629629629</x:v>
      </x:c>
      <x:c r="I139" t="str">
        <x:f>IF(H139&lt;0.9,"ESCALATE",IF(G139&gt;20,"WATCH","OK"))</x:f>
        <x:v>OK</x:v>
      </x:c>
    </x:row>
    <x:row r="140">
      <x:c r="A140" t="str">
        <x:v>PLT-12</x:v>
      </x:c>
      <x:c r="B140" t="str">
        <x:v>Saskatoon</x:v>
      </x:c>
      <x:c r="C140" t="n">
        <x:v>46054</x:v>
      </x:c>
      <x:c r="D140" t="str">
        <x:v>Evening</x:v>
      </x:c>
      <x:c r="E140" t="n">
        <x:v>24</x:v>
      </x:c>
      <x:c r="F140" t="n">
        <x:v>4</x:v>
      </x:c>
      <x:c r="G140" t="n">
        <x:v>14</x:v>
      </x:c>
      <x:c r="H140" s="20" t="n">
        <x:f>IFERROR((E140-F140)/E140,0)</x:f>
        <x:v>0.8333333333333334</x:v>
      </x:c>
      <x:c r="I140" t="str">
        <x:f>IF(H140&lt;0.9,"ESCALATE",IF(G140&gt;20,"WATCH","OK"))</x:f>
        <x:v>ESCALATE</x:v>
      </x:c>
    </x:row>
    <x:row r="141">
      <x:c r="A141" t="str">
        <x:v>PLT-12</x:v>
      </x:c>
      <x:c r="B141" t="str">
        <x:v>Saskatoon</x:v>
      </x:c>
      <x:c r="C141" t="n">
        <x:v>46054</x:v>
      </x:c>
      <x:c r="D141" t="str">
        <x:v>Night</x:v>
      </x:c>
      <x:c r="E141" t="n">
        <x:v>33</x:v>
      </x:c>
      <x:c r="F141" t="n">
        <x:v>1</x:v>
      </x:c>
      <x:c r="G141" t="n">
        <x:v>32</x:v>
      </x:c>
      <x:c r="H141" s="20" t="n">
        <x:f>IFERROR((E141-F141)/E141,0)</x:f>
        <x:v>0.9696969696969697</x:v>
      </x:c>
      <x:c r="I141" t="str">
        <x:f>IF(H141&lt;0.9,"ESCALATE",IF(G141&gt;20,"WATCH","OK"))</x:f>
        <x:v>WATCH</x:v>
      </x:c>
    </x:row>
    <x:row r="142">
      <x:c r="A142" t="str">
        <x:v>PLT-12</x:v>
      </x:c>
      <x:c r="B142" t="str">
        <x:v>Saskatoon</x:v>
      </x:c>
      <x:c r="C142" t="n">
        <x:v>46082</x:v>
      </x:c>
      <x:c r="D142" t="str">
        <x:v>Day</x:v>
      </x:c>
      <x:c r="E142" t="n">
        <x:v>35</x:v>
      </x:c>
      <x:c r="F142" t="n">
        <x:v>4</x:v>
      </x:c>
      <x:c r="G142" t="n">
        <x:v>24</x:v>
      </x:c>
      <x:c r="H142" s="20" t="n">
        <x:f>IFERROR((E142-F142)/E142,0)</x:f>
        <x:v>0.8857142857142857</x:v>
      </x:c>
      <x:c r="I142" t="str">
        <x:f>IF(H142&lt;0.9,"ESCALATE",IF(G142&gt;20,"WATCH","OK"))</x:f>
        <x:v>ESCALATE</x:v>
      </x:c>
    </x:row>
    <x:row r="143">
      <x:c r="A143" t="str">
        <x:v>PLT-12</x:v>
      </x:c>
      <x:c r="B143" t="str">
        <x:v>Saskatoon</x:v>
      </x:c>
      <x:c r="C143" t="n">
        <x:v>46082</x:v>
      </x:c>
      <x:c r="D143" t="str">
        <x:v>Evening</x:v>
      </x:c>
      <x:c r="E143" t="n">
        <x:v>18</x:v>
      </x:c>
      <x:c r="F143" t="n">
        <x:v>4</x:v>
      </x:c>
      <x:c r="G143" t="n">
        <x:v>5</x:v>
      </x:c>
      <x:c r="H143" s="20" t="n">
        <x:f>IFERROR((E143-F143)/E143,0)</x:f>
        <x:v>0.7777777777777778</x:v>
      </x:c>
      <x:c r="I143" t="str">
        <x:f>IF(H143&lt;0.9,"ESCALATE",IF(G143&gt;20,"WATCH","OK"))</x:f>
        <x:v>ESCALATE</x:v>
      </x:c>
    </x:row>
    <x:row r="144">
      <x:c r="A144" t="str">
        <x:v>PLT-12</x:v>
      </x:c>
      <x:c r="B144" t="str">
        <x:v>Saskatoon</x:v>
      </x:c>
      <x:c r="C144" t="n">
        <x:v>46082</x:v>
      </x:c>
      <x:c r="D144" t="str">
        <x:v>Night</x:v>
      </x:c>
      <x:c r="E144" t="n">
        <x:v>22</x:v>
      </x:c>
      <x:c r="F144" t="n">
        <x:v>5</x:v>
      </x:c>
      <x:c r="G144" t="n">
        <x:v>13</x:v>
      </x:c>
      <x:c r="H144" s="20" t="n">
        <x:f>IFERROR((E144-F144)/E144,0)</x:f>
        <x:v>0.7727272727272727</x:v>
      </x:c>
      <x:c r="I144" t="str">
        <x:f>IF(H144&lt;0.9,"ESCALATE",IF(G144&gt;20,"WATCH","OK"))</x:f>
        <x:v>ESCALATE</x:v>
      </x:c>
    </x:row>
    <x:row r="145">
      <x:c r="A145" t="str">
        <x:v>PLT-12</x:v>
      </x:c>
      <x:c r="B145" t="str">
        <x:v>Saskatoon</x:v>
      </x:c>
      <x:c r="C145" t="n">
        <x:v>46113</x:v>
      </x:c>
      <x:c r="D145" t="str">
        <x:v>Day</x:v>
      </x:c>
      <x:c r="E145" t="n">
        <x:v>23</x:v>
      </x:c>
      <x:c r="F145" t="n">
        <x:v>4</x:v>
      </x:c>
      <x:c r="G145" t="n">
        <x:v>21</x:v>
      </x:c>
      <x:c r="H145" s="20" t="n">
        <x:f>IFERROR((E145-F145)/E145,0)</x:f>
        <x:v>0.8260869565217391</x:v>
      </x:c>
      <x:c r="I145" t="str">
        <x:f>IF(H145&lt;0.9,"ESCALATE",IF(G145&gt;20,"WATCH","OK"))</x:f>
        <x:v>ESCALATE</x:v>
      </x:c>
    </x:row>
    <x:row r="146">
      <x:c r="A146" t="str">
        <x:v>PLT-12</x:v>
      </x:c>
      <x:c r="B146" t="str">
        <x:v>Saskatoon</x:v>
      </x:c>
      <x:c r="C146" t="n">
        <x:v>46113</x:v>
      </x:c>
      <x:c r="D146" t="str">
        <x:v>Evening</x:v>
      </x:c>
      <x:c r="E146" t="n">
        <x:v>23</x:v>
      </x:c>
      <x:c r="F146" t="n">
        <x:v>3</x:v>
      </x:c>
      <x:c r="G146" t="n">
        <x:v>21</x:v>
      </x:c>
      <x:c r="H146" s="20" t="n">
        <x:f>IFERROR((E146-F146)/E146,0)</x:f>
        <x:v>0.8695652173913043</x:v>
      </x:c>
      <x:c r="I146" t="str">
        <x:f>IF(H146&lt;0.9,"ESCALATE",IF(G146&gt;20,"WATCH","OK"))</x:f>
        <x:v>ESCALATE</x:v>
      </x:c>
    </x:row>
    <x:row r="147">
      <x:c r="A147" t="str">
        <x:v>PLT-12</x:v>
      </x:c>
      <x:c r="B147" t="str">
        <x:v>Saskatoon</x:v>
      </x:c>
      <x:c r="C147" t="n">
        <x:v>46113</x:v>
      </x:c>
      <x:c r="D147" t="str">
        <x:v>Night</x:v>
      </x:c>
      <x:c r="E147" t="n">
        <x:v>17</x:v>
      </x:c>
      <x:c r="F147" t="n">
        <x:v>4</x:v>
      </x:c>
      <x:c r="G147" t="n">
        <x:v>19</x:v>
      </x:c>
      <x:c r="H147" s="20" t="n">
        <x:f>IFERROR((E147-F147)/E147,0)</x:f>
        <x:v>0.7647058823529411</x:v>
      </x:c>
      <x:c r="I147" t="str">
        <x:f>IF(H147&lt;0.9,"ESCALATE",IF(G147&gt;20,"WATCH","OK"))</x:f>
        <x:v>ESCALATE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6" customHeight="1">
      <x:c r="A1" s="97" t="str">
        <x:v>INVENTORY | Replenishment intelligence</x:v>
      </x:c>
      <x:c r="B1" s="97"/>
      <x:c r="C1" s="97"/>
      <x:c r="D1" s="97"/>
      <x:c r="E1" s="97"/>
      <x:c r="F1" s="97"/>
      <x:c r="G1" s="97"/>
      <x:c r="H1" s="97"/>
      <x:c r="I1" s="97"/>
      <x:c r="J1" s="97"/>
      <x:c r="K1" s="97"/>
    </x:row>
    <x:row r="3" ht="26" customHeight="1">
      <x:c r="A3" s="99" t="str">
        <x:v>Plant ID</x:v>
      </x:c>
      <x:c r="B3" s="99" t="str">
        <x:v>Facility</x:v>
      </x:c>
      <x:c r="C3" s="99" t="str">
        <x:v>Month</x:v>
      </x:c>
      <x:c r="D3" s="99" t="str">
        <x:v>SKU</x:v>
      </x:c>
      <x:c r="E3" s="99" t="str">
        <x:v>Material</x:v>
      </x:c>
      <x:c r="F3" s="99" t="str">
        <x:v>On hand</x:v>
      </x:c>
      <x:c r="G3" s="99" t="str">
        <x:v>Monthly demand</x:v>
      </x:c>
      <x:c r="H3" s="99" t="str">
        <x:v>Lead time days</x:v>
      </x:c>
      <x:c r="I3" s="99" t="str">
        <x:v>Safety stock</x:v>
      </x:c>
      <x:c r="J3" s="99" t="str">
        <x:v>Reorder point</x:v>
      </x:c>
      <x:c r="K3" s="99" t="str">
        <x:v>Replenishment flag</x:v>
      </x:c>
    </x:row>
    <x:row r="4">
      <x:c r="A4" t="str">
        <x:v>PLT-01</x:v>
      </x:c>
      <x:c r="B4" t="str">
        <x:v>Montréal</x:v>
      </x:c>
      <x:c r="C4" t="n">
        <x:v>46023</x:v>
      </x:c>
      <x:c r="D4" t="str">
        <x:v>SKU-001</x:v>
      </x:c>
      <x:c r="E4" t="str">
        <x:v>Precision Assembly</x:v>
      </x:c>
      <x:c r="F4" t="n">
        <x:v>211</x:v>
      </x:c>
      <x:c r="G4" t="n">
        <x:v>166</x:v>
      </x:c>
      <x:c r="H4" t="n">
        <x:v>23</x:v>
      </x:c>
      <x:c r="I4" t="n">
        <x:v>75</x:v>
      </x:c>
      <x:c r="J4" t="n">
        <x:f>ROUNDUP(G4/30*H4+I4,0)</x:f>
        <x:v>203</x:v>
      </x:c>
      <x:c r="K4" t="str">
        <x:f>IF(F4&lt;J4,"REORDER","SUFFICIENT")</x:f>
        <x:v>SUFFICIENT</x:v>
      </x:c>
    </x:row>
    <x:row r="5">
      <x:c r="A5" t="str">
        <x:v>PLT-01</x:v>
      </x:c>
      <x:c r="B5" t="str">
        <x:v>Montréal</x:v>
      </x:c>
      <x:c r="C5" t="n">
        <x:v>46023</x:v>
      </x:c>
      <x:c r="D5" t="str">
        <x:v>SKU-002</x:v>
      </x:c>
      <x:c r="E5" t="str">
        <x:v>Industrial Components</x:v>
      </x:c>
      <x:c r="F5" t="n">
        <x:v>162</x:v>
      </x:c>
      <x:c r="G5" t="n">
        <x:v>51</x:v>
      </x:c>
      <x:c r="H5" t="n">
        <x:v>16</x:v>
      </x:c>
      <x:c r="I5" t="n">
        <x:v>132</x:v>
      </x:c>
      <x:c r="J5" t="n">
        <x:f>ROUNDUP(G5/30*H5+I5,0)</x:f>
        <x:v>160</x:v>
      </x:c>
      <x:c r="K5" t="str">
        <x:f>IF(F5&lt;J5,"REORDER","SUFFICIENT")</x:f>
        <x:v>SUFFICIENT</x:v>
      </x:c>
    </x:row>
    <x:row r="6">
      <x:c r="A6" t="str">
        <x:v>PLT-01</x:v>
      </x:c>
      <x:c r="B6" t="str">
        <x:v>Montréal</x:v>
      </x:c>
      <x:c r="C6" t="n">
        <x:v>46023</x:v>
      </x:c>
      <x:c r="D6" t="str">
        <x:v>SKU-003</x:v>
      </x:c>
      <x:c r="E6" t="str">
        <x:v>Advanced Packaging</x:v>
      </x:c>
      <x:c r="F6" t="n">
        <x:v>792</x:v>
      </x:c>
      <x:c r="G6" t="n">
        <x:v>145</x:v>
      </x:c>
      <x:c r="H6" t="n">
        <x:v>5</x:v>
      </x:c>
      <x:c r="I6" t="n">
        <x:v>152</x:v>
      </x:c>
      <x:c r="J6" t="n">
        <x:f>ROUNDUP(G6/30*H6+I6,0)</x:f>
        <x:v>177</x:v>
      </x:c>
      <x:c r="K6" t="str">
        <x:f>IF(F6&lt;J6,"REORDER","SUFFICIENT")</x:f>
        <x:v>SUFFICIENT</x:v>
      </x:c>
    </x:row>
    <x:row r="7">
      <x:c r="A7" t="str">
        <x:v>PLT-01</x:v>
      </x:c>
      <x:c r="B7" t="str">
        <x:v>Montréal</x:v>
      </x:c>
      <x:c r="C7" t="n">
        <x:v>46023</x:v>
      </x:c>
      <x:c r="D7" t="str">
        <x:v>SKU-004</x:v>
      </x:c>
      <x:c r="E7" t="str">
        <x:v>Field Services</x:v>
      </x:c>
      <x:c r="F7" t="n">
        <x:v>789</x:v>
      </x:c>
      <x:c r="G7" t="n">
        <x:v>278</x:v>
      </x:c>
      <x:c r="H7" t="n">
        <x:v>7</x:v>
      </x:c>
      <x:c r="I7" t="n">
        <x:v>64</x:v>
      </x:c>
      <x:c r="J7" t="n">
        <x:f>ROUNDUP(G7/30*H7+I7,0)</x:f>
        <x:v>129</x:v>
      </x:c>
      <x:c r="K7" t="str">
        <x:f>IF(F7&lt;J7,"REORDER","SUFFICIENT")</x:f>
        <x:v>SUFFICIENT</x:v>
      </x:c>
    </x:row>
    <x:row r="8">
      <x:c r="A8" t="str">
        <x:v>PLT-01</x:v>
      </x:c>
      <x:c r="B8" t="str">
        <x:v>Montréal</x:v>
      </x:c>
      <x:c r="C8" t="n">
        <x:v>46054</x:v>
      </x:c>
      <x:c r="D8" t="str">
        <x:v>SKU-001</x:v>
      </x:c>
      <x:c r="E8" t="str">
        <x:v>Precision Assembly</x:v>
      </x:c>
      <x:c r="F8" t="n">
        <x:v>62</x:v>
      </x:c>
      <x:c r="G8" t="n">
        <x:v>287</x:v>
      </x:c>
      <x:c r="H8" t="n">
        <x:v>15</x:v>
      </x:c>
      <x:c r="I8" t="n">
        <x:v>118</x:v>
      </x:c>
      <x:c r="J8" t="n">
        <x:f>ROUNDUP(G8/30*H8+I8,0)</x:f>
        <x:v>262</x:v>
      </x:c>
      <x:c r="K8" t="str">
        <x:f>IF(F8&lt;J8,"REORDER","SUFFICIENT")</x:f>
        <x:v>REORDER</x:v>
      </x:c>
    </x:row>
    <x:row r="9">
      <x:c r="A9" t="str">
        <x:v>PLT-01</x:v>
      </x:c>
      <x:c r="B9" t="str">
        <x:v>Montréal</x:v>
      </x:c>
      <x:c r="C9" t="n">
        <x:v>46054</x:v>
      </x:c>
      <x:c r="D9" t="str">
        <x:v>SKU-002</x:v>
      </x:c>
      <x:c r="E9" t="str">
        <x:v>Industrial Components</x:v>
      </x:c>
      <x:c r="F9" t="n">
        <x:v>62</x:v>
      </x:c>
      <x:c r="G9" t="n">
        <x:v>78</x:v>
      </x:c>
      <x:c r="H9" t="n">
        <x:v>7</x:v>
      </x:c>
      <x:c r="I9" t="n">
        <x:v>79</x:v>
      </x:c>
      <x:c r="J9" t="n">
        <x:f>ROUNDUP(G9/30*H9+I9,0)</x:f>
        <x:v>98</x:v>
      </x:c>
      <x:c r="K9" t="str">
        <x:f>IF(F9&lt;J9,"REORDER","SUFFICIENT")</x:f>
        <x:v>REORDER</x:v>
      </x:c>
    </x:row>
    <x:row r="10">
      <x:c r="A10" t="str">
        <x:v>PLT-01</x:v>
      </x:c>
      <x:c r="B10" t="str">
        <x:v>Montréal</x:v>
      </x:c>
      <x:c r="C10" t="n">
        <x:v>46054</x:v>
      </x:c>
      <x:c r="D10" t="str">
        <x:v>SKU-003</x:v>
      </x:c>
      <x:c r="E10" t="str">
        <x:v>Advanced Packaging</x:v>
      </x:c>
      <x:c r="F10" t="n">
        <x:v>509</x:v>
      </x:c>
      <x:c r="G10" t="n">
        <x:v>240</x:v>
      </x:c>
      <x:c r="H10" t="n">
        <x:v>16</x:v>
      </x:c>
      <x:c r="I10" t="n">
        <x:v>131</x:v>
      </x:c>
      <x:c r="J10" t="n">
        <x:f>ROUNDUP(G10/30*H10+I10,0)</x:f>
        <x:v>259</x:v>
      </x:c>
      <x:c r="K10" t="str">
        <x:f>IF(F10&lt;J10,"REORDER","SUFFICIENT")</x:f>
        <x:v>SUFFICIENT</x:v>
      </x:c>
    </x:row>
    <x:row r="11">
      <x:c r="A11" t="str">
        <x:v>PLT-01</x:v>
      </x:c>
      <x:c r="B11" t="str">
        <x:v>Montréal</x:v>
      </x:c>
      <x:c r="C11" t="n">
        <x:v>46054</x:v>
      </x:c>
      <x:c r="D11" t="str">
        <x:v>SKU-004</x:v>
      </x:c>
      <x:c r="E11" t="str">
        <x:v>Field Services</x:v>
      </x:c>
      <x:c r="F11" t="n">
        <x:v>592</x:v>
      </x:c>
      <x:c r="G11" t="n">
        <x:v>49</x:v>
      </x:c>
      <x:c r="H11" t="n">
        <x:v>3</x:v>
      </x:c>
      <x:c r="I11" t="n">
        <x:v>178</x:v>
      </x:c>
      <x:c r="J11" t="n">
        <x:f>ROUNDUP(G11/30*H11+I11,0)</x:f>
        <x:v>183</x:v>
      </x:c>
      <x:c r="K11" t="str">
        <x:f>IF(F11&lt;J11,"REORDER","SUFFICIENT")</x:f>
        <x:v>SUFFICIENT</x:v>
      </x:c>
    </x:row>
    <x:row r="12">
      <x:c r="A12" t="str">
        <x:v>PLT-01</x:v>
      </x:c>
      <x:c r="B12" t="str">
        <x:v>Montréal</x:v>
      </x:c>
      <x:c r="C12" t="n">
        <x:v>46082</x:v>
      </x:c>
      <x:c r="D12" t="str">
        <x:v>SKU-001</x:v>
      </x:c>
      <x:c r="E12" t="str">
        <x:v>Precision Assembly</x:v>
      </x:c>
      <x:c r="F12" t="n">
        <x:v>791</x:v>
      </x:c>
      <x:c r="G12" t="n">
        <x:v>270</x:v>
      </x:c>
      <x:c r="H12" t="n">
        <x:v>24</x:v>
      </x:c>
      <x:c r="I12" t="n">
        <x:v>165</x:v>
      </x:c>
      <x:c r="J12" t="n">
        <x:f>ROUNDUP(G12/30*H12+I12,0)</x:f>
        <x:v>381</x:v>
      </x:c>
      <x:c r="K12" t="str">
        <x:f>IF(F12&lt;J12,"REORDER","SUFFICIENT")</x:f>
        <x:v>SUFFICIENT</x:v>
      </x:c>
    </x:row>
    <x:row r="13">
      <x:c r="A13" t="str">
        <x:v>PLT-01</x:v>
      </x:c>
      <x:c r="B13" t="str">
        <x:v>Montréal</x:v>
      </x:c>
      <x:c r="C13" t="n">
        <x:v>46082</x:v>
      </x:c>
      <x:c r="D13" t="str">
        <x:v>SKU-002</x:v>
      </x:c>
      <x:c r="E13" t="str">
        <x:v>Industrial Components</x:v>
      </x:c>
      <x:c r="F13" t="n">
        <x:v>500</x:v>
      </x:c>
      <x:c r="G13" t="n">
        <x:v>77</x:v>
      </x:c>
      <x:c r="H13" t="n">
        <x:v>24</x:v>
      </x:c>
      <x:c r="I13" t="n">
        <x:v>130</x:v>
      </x:c>
      <x:c r="J13" t="n">
        <x:f>ROUNDUP(G13/30*H13+I13,0)</x:f>
        <x:v>192</x:v>
      </x:c>
      <x:c r="K13" t="str">
        <x:f>IF(F13&lt;J13,"REORDER","SUFFICIENT")</x:f>
        <x:v>SUFFICIENT</x:v>
      </x:c>
    </x:row>
    <x:row r="14">
      <x:c r="A14" t="str">
        <x:v>PLT-01</x:v>
      </x:c>
      <x:c r="B14" t="str">
        <x:v>Montréal</x:v>
      </x:c>
      <x:c r="C14" t="n">
        <x:v>46082</x:v>
      </x:c>
      <x:c r="D14" t="str">
        <x:v>SKU-003</x:v>
      </x:c>
      <x:c r="E14" t="str">
        <x:v>Advanced Packaging</x:v>
      </x:c>
      <x:c r="F14" t="n">
        <x:v>595</x:v>
      </x:c>
      <x:c r="G14" t="n">
        <x:v>143</x:v>
      </x:c>
      <x:c r="H14" t="n">
        <x:v>24</x:v>
      </x:c>
      <x:c r="I14" t="n">
        <x:v>123</x:v>
      </x:c>
      <x:c r="J14" t="n">
        <x:f>ROUNDUP(G14/30*H14+I14,0)</x:f>
        <x:v>238</x:v>
      </x:c>
      <x:c r="K14" t="str">
        <x:f>IF(F14&lt;J14,"REORDER","SUFFICIENT")</x:f>
        <x:v>SUFFICIENT</x:v>
      </x:c>
    </x:row>
    <x:row r="15">
      <x:c r="A15" t="str">
        <x:v>PLT-01</x:v>
      </x:c>
      <x:c r="B15" t="str">
        <x:v>Montréal</x:v>
      </x:c>
      <x:c r="C15" t="n">
        <x:v>46082</x:v>
      </x:c>
      <x:c r="D15" t="str">
        <x:v>SKU-004</x:v>
      </x:c>
      <x:c r="E15" t="str">
        <x:v>Field Services</x:v>
      </x:c>
      <x:c r="F15" t="n">
        <x:v>323</x:v>
      </x:c>
      <x:c r="G15" t="n">
        <x:v>228</x:v>
      </x:c>
      <x:c r="H15" t="n">
        <x:v>25</x:v>
      </x:c>
      <x:c r="I15" t="n">
        <x:v>143</x:v>
      </x:c>
      <x:c r="J15" t="n">
        <x:f>ROUNDUP(G15/30*H15+I15,0)</x:f>
        <x:v>333</x:v>
      </x:c>
      <x:c r="K15" t="str">
        <x:f>IF(F15&lt;J15,"REORDER","SUFFICIENT")</x:f>
        <x:v>REORDER</x:v>
      </x:c>
    </x:row>
    <x:row r="16">
      <x:c r="A16" t="str">
        <x:v>PLT-01</x:v>
      </x:c>
      <x:c r="B16" t="str">
        <x:v>Montréal</x:v>
      </x:c>
      <x:c r="C16" t="n">
        <x:v>46113</x:v>
      </x:c>
      <x:c r="D16" t="str">
        <x:v>SKU-001</x:v>
      </x:c>
      <x:c r="E16" t="str">
        <x:v>Precision Assembly</x:v>
      </x:c>
      <x:c r="F16" t="n">
        <x:v>273</x:v>
      </x:c>
      <x:c r="G16" t="n">
        <x:v>231</x:v>
      </x:c>
      <x:c r="H16" t="n">
        <x:v>24</x:v>
      </x:c>
      <x:c r="I16" t="n">
        <x:v>90</x:v>
      </x:c>
      <x:c r="J16" t="n">
        <x:f>ROUNDUP(G16/30*H16+I16,0)</x:f>
        <x:v>275</x:v>
      </x:c>
      <x:c r="K16" t="str">
        <x:f>IF(F16&lt;J16,"REORDER","SUFFICIENT")</x:f>
        <x:v>REORDER</x:v>
      </x:c>
    </x:row>
    <x:row r="17">
      <x:c r="A17" t="str">
        <x:v>PLT-01</x:v>
      </x:c>
      <x:c r="B17" t="str">
        <x:v>Montréal</x:v>
      </x:c>
      <x:c r="C17" t="n">
        <x:v>46113</x:v>
      </x:c>
      <x:c r="D17" t="str">
        <x:v>SKU-002</x:v>
      </x:c>
      <x:c r="E17" t="str">
        <x:v>Industrial Components</x:v>
      </x:c>
      <x:c r="F17" t="n">
        <x:v>497</x:v>
      </x:c>
      <x:c r="G17" t="n">
        <x:v>133</x:v>
      </x:c>
      <x:c r="H17" t="n">
        <x:v>20</x:v>
      </x:c>
      <x:c r="I17" t="n">
        <x:v>187</x:v>
      </x:c>
      <x:c r="J17" t="n">
        <x:f>ROUNDUP(G17/30*H17+I17,0)</x:f>
        <x:v>276</x:v>
      </x:c>
      <x:c r="K17" t="str">
        <x:f>IF(F17&lt;J17,"REORDER","SUFFICIENT")</x:f>
        <x:v>SUFFICIENT</x:v>
      </x:c>
    </x:row>
    <x:row r="18">
      <x:c r="A18" t="str">
        <x:v>PLT-01</x:v>
      </x:c>
      <x:c r="B18" t="str">
        <x:v>Montréal</x:v>
      </x:c>
      <x:c r="C18" t="n">
        <x:v>46113</x:v>
      </x:c>
      <x:c r="D18" t="str">
        <x:v>SKU-003</x:v>
      </x:c>
      <x:c r="E18" t="str">
        <x:v>Advanced Packaging</x:v>
      </x:c>
      <x:c r="F18" t="n">
        <x:v>442</x:v>
      </x:c>
      <x:c r="G18" t="n">
        <x:v>217</x:v>
      </x:c>
      <x:c r="H18" t="n">
        <x:v>11</x:v>
      </x:c>
      <x:c r="I18" t="n">
        <x:v>150</x:v>
      </x:c>
      <x:c r="J18" t="n">
        <x:f>ROUNDUP(G18/30*H18+I18,0)</x:f>
        <x:v>230</x:v>
      </x:c>
      <x:c r="K18" t="str">
        <x:f>IF(F18&lt;J18,"REORDER","SUFFICIENT")</x:f>
        <x:v>SUFFICIENT</x:v>
      </x:c>
    </x:row>
    <x:row r="19">
      <x:c r="A19" t="str">
        <x:v>PLT-01</x:v>
      </x:c>
      <x:c r="B19" t="str">
        <x:v>Montréal</x:v>
      </x:c>
      <x:c r="C19" t="n">
        <x:v>46113</x:v>
      </x:c>
      <x:c r="D19" t="str">
        <x:v>SKU-004</x:v>
      </x:c>
      <x:c r="E19" t="str">
        <x:v>Field Services</x:v>
      </x:c>
      <x:c r="F19" t="n">
        <x:v>70</x:v>
      </x:c>
      <x:c r="G19" t="n">
        <x:v>126</x:v>
      </x:c>
      <x:c r="H19" t="n">
        <x:v>21</x:v>
      </x:c>
      <x:c r="I19" t="n">
        <x:v>99</x:v>
      </x:c>
      <x:c r="J19" t="n">
        <x:f>ROUNDUP(G19/30*H19+I19,0)</x:f>
        <x:v>188</x:v>
      </x:c>
      <x:c r="K19" t="str">
        <x:f>IF(F19&lt;J19,"REORDER","SUFFICIENT")</x:f>
        <x:v>REORDER</x:v>
      </x:c>
    </x:row>
    <x:row r="20">
      <x:c r="A20" t="str">
        <x:v>PLT-02</x:v>
      </x:c>
      <x:c r="B20" t="str">
        <x:v>Québec City</x:v>
      </x:c>
      <x:c r="C20" t="n">
        <x:v>46023</x:v>
      </x:c>
      <x:c r="D20" t="str">
        <x:v>SKU-001</x:v>
      </x:c>
      <x:c r="E20" t="str">
        <x:v>Precision Assembly</x:v>
      </x:c>
      <x:c r="F20" t="n">
        <x:v>165</x:v>
      </x:c>
      <x:c r="G20" t="n">
        <x:v>178</x:v>
      </x:c>
      <x:c r="H20" t="n">
        <x:v>22</x:v>
      </x:c>
      <x:c r="I20" t="n">
        <x:v>166</x:v>
      </x:c>
      <x:c r="J20" t="n">
        <x:f>ROUNDUP(G20/30*H20+I20,0)</x:f>
        <x:v>297</x:v>
      </x:c>
      <x:c r="K20" t="str">
        <x:f>IF(F20&lt;J20,"REORDER","SUFFICIENT")</x:f>
        <x:v>REORDER</x:v>
      </x:c>
    </x:row>
    <x:row r="21">
      <x:c r="A21" t="str">
        <x:v>PLT-02</x:v>
      </x:c>
      <x:c r="B21" t="str">
        <x:v>Québec City</x:v>
      </x:c>
      <x:c r="C21" t="n">
        <x:v>46023</x:v>
      </x:c>
      <x:c r="D21" t="str">
        <x:v>SKU-002</x:v>
      </x:c>
      <x:c r="E21" t="str">
        <x:v>Industrial Components</x:v>
      </x:c>
      <x:c r="F21" t="n">
        <x:v>350</x:v>
      </x:c>
      <x:c r="G21" t="n">
        <x:v>241</x:v>
      </x:c>
      <x:c r="H21" t="n">
        <x:v>28</x:v>
      </x:c>
      <x:c r="I21" t="n">
        <x:v>185</x:v>
      </x:c>
      <x:c r="J21" t="n">
        <x:f>ROUNDUP(G21/30*H21+I21,0)</x:f>
        <x:v>410</x:v>
      </x:c>
      <x:c r="K21" t="str">
        <x:f>IF(F21&lt;J21,"REORDER","SUFFICIENT")</x:f>
        <x:v>REORDER</x:v>
      </x:c>
    </x:row>
    <x:row r="22">
      <x:c r="A22" t="str">
        <x:v>PLT-02</x:v>
      </x:c>
      <x:c r="B22" t="str">
        <x:v>Québec City</x:v>
      </x:c>
      <x:c r="C22" t="n">
        <x:v>46023</x:v>
      </x:c>
      <x:c r="D22" t="str">
        <x:v>SKU-003</x:v>
      </x:c>
      <x:c r="E22" t="str">
        <x:v>Advanced Packaging</x:v>
      </x:c>
      <x:c r="F22" t="n">
        <x:v>748</x:v>
      </x:c>
      <x:c r="G22" t="n">
        <x:v>157</x:v>
      </x:c>
      <x:c r="H22" t="n">
        <x:v>6</x:v>
      </x:c>
      <x:c r="I22" t="n">
        <x:v>188</x:v>
      </x:c>
      <x:c r="J22" t="n">
        <x:f>ROUNDUP(G22/30*H22+I22,0)</x:f>
        <x:v>220</x:v>
      </x:c>
      <x:c r="K22" t="str">
        <x:f>IF(F22&lt;J22,"REORDER","SUFFICIENT")</x:f>
        <x:v>SUFFICIENT</x:v>
      </x:c>
    </x:row>
    <x:row r="23">
      <x:c r="A23" t="str">
        <x:v>PLT-02</x:v>
      </x:c>
      <x:c r="B23" t="str">
        <x:v>Québec City</x:v>
      </x:c>
      <x:c r="C23" t="n">
        <x:v>46023</x:v>
      </x:c>
      <x:c r="D23" t="str">
        <x:v>SKU-004</x:v>
      </x:c>
      <x:c r="E23" t="str">
        <x:v>Field Services</x:v>
      </x:c>
      <x:c r="F23" t="n">
        <x:v>521</x:v>
      </x:c>
      <x:c r="G23" t="n">
        <x:v>260</x:v>
      </x:c>
      <x:c r="H23" t="n">
        <x:v>10</x:v>
      </x:c>
      <x:c r="I23" t="n">
        <x:v>183</x:v>
      </x:c>
      <x:c r="J23" t="n">
        <x:f>ROUNDUP(G23/30*H23+I23,0)</x:f>
        <x:v>270</x:v>
      </x:c>
      <x:c r="K23" t="str">
        <x:f>IF(F23&lt;J23,"REORDER","SUFFICIENT")</x:f>
        <x:v>SUFFICIENT</x:v>
      </x:c>
    </x:row>
    <x:row r="24">
      <x:c r="A24" t="str">
        <x:v>PLT-02</x:v>
      </x:c>
      <x:c r="B24" t="str">
        <x:v>Québec City</x:v>
      </x:c>
      <x:c r="C24" t="n">
        <x:v>46054</x:v>
      </x:c>
      <x:c r="D24" t="str">
        <x:v>SKU-001</x:v>
      </x:c>
      <x:c r="E24" t="str">
        <x:v>Precision Assembly</x:v>
      </x:c>
      <x:c r="F24" t="n">
        <x:v>477</x:v>
      </x:c>
      <x:c r="G24" t="n">
        <x:v>43</x:v>
      </x:c>
      <x:c r="H24" t="n">
        <x:v>10</x:v>
      </x:c>
      <x:c r="I24" t="n">
        <x:v>102</x:v>
      </x:c>
      <x:c r="J24" t="n">
        <x:f>ROUNDUP(G24/30*H24+I24,0)</x:f>
        <x:v>117</x:v>
      </x:c>
      <x:c r="K24" t="str">
        <x:f>IF(F24&lt;J24,"REORDER","SUFFICIENT")</x:f>
        <x:v>SUFFICIENT</x:v>
      </x:c>
    </x:row>
    <x:row r="25">
      <x:c r="A25" t="str">
        <x:v>PLT-02</x:v>
      </x:c>
      <x:c r="B25" t="str">
        <x:v>Québec City</x:v>
      </x:c>
      <x:c r="C25" t="n">
        <x:v>46054</x:v>
      </x:c>
      <x:c r="D25" t="str">
        <x:v>SKU-002</x:v>
      </x:c>
      <x:c r="E25" t="str">
        <x:v>Industrial Components</x:v>
      </x:c>
      <x:c r="F25" t="n">
        <x:v>670</x:v>
      </x:c>
      <x:c r="G25" t="n">
        <x:v>298</x:v>
      </x:c>
      <x:c r="H25" t="n">
        <x:v>15</x:v>
      </x:c>
      <x:c r="I25" t="n">
        <x:v>98</x:v>
      </x:c>
      <x:c r="J25" t="n">
        <x:f>ROUNDUP(G25/30*H25+I25,0)</x:f>
        <x:v>247</x:v>
      </x:c>
      <x:c r="K25" t="str">
        <x:f>IF(F25&lt;J25,"REORDER","SUFFICIENT")</x:f>
        <x:v>SUFFICIENT</x:v>
      </x:c>
    </x:row>
    <x:row r="26">
      <x:c r="A26" t="str">
        <x:v>PLT-02</x:v>
      </x:c>
      <x:c r="B26" t="str">
        <x:v>Québec City</x:v>
      </x:c>
      <x:c r="C26" t="n">
        <x:v>46054</x:v>
      </x:c>
      <x:c r="D26" t="str">
        <x:v>SKU-003</x:v>
      </x:c>
      <x:c r="E26" t="str">
        <x:v>Advanced Packaging</x:v>
      </x:c>
      <x:c r="F26" t="n">
        <x:v>67</x:v>
      </x:c>
      <x:c r="G26" t="n">
        <x:v>306</x:v>
      </x:c>
      <x:c r="H26" t="n">
        <x:v>15</x:v>
      </x:c>
      <x:c r="I26" t="n">
        <x:v>66</x:v>
      </x:c>
      <x:c r="J26" t="n">
        <x:f>ROUNDUP(G26/30*H26+I26,0)</x:f>
        <x:v>219</x:v>
      </x:c>
      <x:c r="K26" t="str">
        <x:f>IF(F26&lt;J26,"REORDER","SUFFICIENT")</x:f>
        <x:v>REORDER</x:v>
      </x:c>
    </x:row>
    <x:row r="27">
      <x:c r="A27" t="str">
        <x:v>PLT-02</x:v>
      </x:c>
      <x:c r="B27" t="str">
        <x:v>Québec City</x:v>
      </x:c>
      <x:c r="C27" t="n">
        <x:v>46054</x:v>
      </x:c>
      <x:c r="D27" t="str">
        <x:v>SKU-004</x:v>
      </x:c>
      <x:c r="E27" t="str">
        <x:v>Field Services</x:v>
      </x:c>
      <x:c r="F27" t="n">
        <x:v>279</x:v>
      </x:c>
      <x:c r="G27" t="n">
        <x:v>173</x:v>
      </x:c>
      <x:c r="H27" t="n">
        <x:v>22</x:v>
      </x:c>
      <x:c r="I27" t="n">
        <x:v>66</x:v>
      </x:c>
      <x:c r="J27" t="n">
        <x:f>ROUNDUP(G27/30*H27+I27,0)</x:f>
        <x:v>193</x:v>
      </x:c>
      <x:c r="K27" t="str">
        <x:f>IF(F27&lt;J27,"REORDER","SUFFICIENT")</x:f>
        <x:v>SUFFICIENT</x:v>
      </x:c>
    </x:row>
    <x:row r="28">
      <x:c r="A28" t="str">
        <x:v>PLT-02</x:v>
      </x:c>
      <x:c r="B28" t="str">
        <x:v>Québec City</x:v>
      </x:c>
      <x:c r="C28" t="n">
        <x:v>46082</x:v>
      </x:c>
      <x:c r="D28" t="str">
        <x:v>SKU-001</x:v>
      </x:c>
      <x:c r="E28" t="str">
        <x:v>Precision Assembly</x:v>
      </x:c>
      <x:c r="F28" t="n">
        <x:v>714</x:v>
      </x:c>
      <x:c r="G28" t="n">
        <x:v>259</x:v>
      </x:c>
      <x:c r="H28" t="n">
        <x:v>3</x:v>
      </x:c>
      <x:c r="I28" t="n">
        <x:v>139</x:v>
      </x:c>
      <x:c r="J28" t="n">
        <x:f>ROUNDUP(G28/30*H28+I28,0)</x:f>
        <x:v>165</x:v>
      </x:c>
      <x:c r="K28" t="str">
        <x:f>IF(F28&lt;J28,"REORDER","SUFFICIENT")</x:f>
        <x:v>SUFFICIENT</x:v>
      </x:c>
    </x:row>
    <x:row r="29">
      <x:c r="A29" t="str">
        <x:v>PLT-02</x:v>
      </x:c>
      <x:c r="B29" t="str">
        <x:v>Québec City</x:v>
      </x:c>
      <x:c r="C29" t="n">
        <x:v>46082</x:v>
      </x:c>
      <x:c r="D29" t="str">
        <x:v>SKU-002</x:v>
      </x:c>
      <x:c r="E29" t="str">
        <x:v>Industrial Components</x:v>
      </x:c>
      <x:c r="F29" t="n">
        <x:v>148</x:v>
      </x:c>
      <x:c r="G29" t="n">
        <x:v>190</x:v>
      </x:c>
      <x:c r="H29" t="n">
        <x:v>15</x:v>
      </x:c>
      <x:c r="I29" t="n">
        <x:v>77</x:v>
      </x:c>
      <x:c r="J29" t="n">
        <x:f>ROUNDUP(G29/30*H29+I29,0)</x:f>
        <x:v>172</x:v>
      </x:c>
      <x:c r="K29" t="str">
        <x:f>IF(F29&lt;J29,"REORDER","SUFFICIENT")</x:f>
        <x:v>REORDER</x:v>
      </x:c>
    </x:row>
    <x:row r="30">
      <x:c r="A30" t="str">
        <x:v>PLT-02</x:v>
      </x:c>
      <x:c r="B30" t="str">
        <x:v>Québec City</x:v>
      </x:c>
      <x:c r="C30" t="n">
        <x:v>46082</x:v>
      </x:c>
      <x:c r="D30" t="str">
        <x:v>SKU-003</x:v>
      </x:c>
      <x:c r="E30" t="str">
        <x:v>Advanced Packaging</x:v>
      </x:c>
      <x:c r="F30" t="n">
        <x:v>597</x:v>
      </x:c>
      <x:c r="G30" t="n">
        <x:v>198</x:v>
      </x:c>
      <x:c r="H30" t="n">
        <x:v>24</x:v>
      </x:c>
      <x:c r="I30" t="n">
        <x:v>172</x:v>
      </x:c>
      <x:c r="J30" t="n">
        <x:f>ROUNDUP(G30/30*H30+I30,0)</x:f>
        <x:v>331</x:v>
      </x:c>
      <x:c r="K30" t="str">
        <x:f>IF(F30&lt;J30,"REORDER","SUFFICIENT")</x:f>
        <x:v>SUFFICIENT</x:v>
      </x:c>
    </x:row>
    <x:row r="31">
      <x:c r="A31" t="str">
        <x:v>PLT-02</x:v>
      </x:c>
      <x:c r="B31" t="str">
        <x:v>Québec City</x:v>
      </x:c>
      <x:c r="C31" t="n">
        <x:v>46082</x:v>
      </x:c>
      <x:c r="D31" t="str">
        <x:v>SKU-004</x:v>
      </x:c>
      <x:c r="E31" t="str">
        <x:v>Field Services</x:v>
      </x:c>
      <x:c r="F31" t="n">
        <x:v>775</x:v>
      </x:c>
      <x:c r="G31" t="n">
        <x:v>225</x:v>
      </x:c>
      <x:c r="H31" t="n">
        <x:v>19</x:v>
      </x:c>
      <x:c r="I31" t="n">
        <x:v>105</x:v>
      </x:c>
      <x:c r="J31" t="n">
        <x:f>ROUNDUP(G31/30*H31+I31,0)</x:f>
        <x:v>248</x:v>
      </x:c>
      <x:c r="K31" t="str">
        <x:f>IF(F31&lt;J31,"REORDER","SUFFICIENT")</x:f>
        <x:v>SUFFICIENT</x:v>
      </x:c>
    </x:row>
    <x:row r="32">
      <x:c r="A32" t="str">
        <x:v>PLT-02</x:v>
      </x:c>
      <x:c r="B32" t="str">
        <x:v>Québec City</x:v>
      </x:c>
      <x:c r="C32" t="n">
        <x:v>46113</x:v>
      </x:c>
      <x:c r="D32" t="str">
        <x:v>SKU-001</x:v>
      </x:c>
      <x:c r="E32" t="str">
        <x:v>Precision Assembly</x:v>
      </x:c>
      <x:c r="F32" t="n">
        <x:v>56</x:v>
      </x:c>
      <x:c r="G32" t="n">
        <x:v>111</x:v>
      </x:c>
      <x:c r="H32" t="n">
        <x:v>26</x:v>
      </x:c>
      <x:c r="I32" t="n">
        <x:v>130</x:v>
      </x:c>
      <x:c r="J32" t="n">
        <x:f>ROUNDUP(G32/30*H32+I32,0)</x:f>
        <x:v>227</x:v>
      </x:c>
      <x:c r="K32" t="str">
        <x:f>IF(F32&lt;J32,"REORDER","SUFFICIENT")</x:f>
        <x:v>REORDER</x:v>
      </x:c>
    </x:row>
    <x:row r="33">
      <x:c r="A33" t="str">
        <x:v>PLT-02</x:v>
      </x:c>
      <x:c r="B33" t="str">
        <x:v>Québec City</x:v>
      </x:c>
      <x:c r="C33" t="n">
        <x:v>46113</x:v>
      </x:c>
      <x:c r="D33" t="str">
        <x:v>SKU-002</x:v>
      </x:c>
      <x:c r="E33" t="str">
        <x:v>Industrial Components</x:v>
      </x:c>
      <x:c r="F33" t="n">
        <x:v>578</x:v>
      </x:c>
      <x:c r="G33" t="n">
        <x:v>175</x:v>
      </x:c>
      <x:c r="H33" t="n">
        <x:v>14</x:v>
      </x:c>
      <x:c r="I33" t="n">
        <x:v>103</x:v>
      </x:c>
      <x:c r="J33" t="n">
        <x:f>ROUNDUP(G33/30*H33+I33,0)</x:f>
        <x:v>185</x:v>
      </x:c>
      <x:c r="K33" t="str">
        <x:f>IF(F33&lt;J33,"REORDER","SUFFICIENT")</x:f>
        <x:v>SUFFICIENT</x:v>
      </x:c>
    </x:row>
    <x:row r="34">
      <x:c r="A34" t="str">
        <x:v>PLT-02</x:v>
      </x:c>
      <x:c r="B34" t="str">
        <x:v>Québec City</x:v>
      </x:c>
      <x:c r="C34" t="n">
        <x:v>46113</x:v>
      </x:c>
      <x:c r="D34" t="str">
        <x:v>SKU-003</x:v>
      </x:c>
      <x:c r="E34" t="str">
        <x:v>Advanced Packaging</x:v>
      </x:c>
      <x:c r="F34" t="n">
        <x:v>523</x:v>
      </x:c>
      <x:c r="G34" t="n">
        <x:v>306</x:v>
      </x:c>
      <x:c r="H34" t="n">
        <x:v>27</x:v>
      </x:c>
      <x:c r="I34" t="n">
        <x:v>163</x:v>
      </x:c>
      <x:c r="J34" t="n">
        <x:f>ROUNDUP(G34/30*H34+I34,0)</x:f>
        <x:v>439</x:v>
      </x:c>
      <x:c r="K34" t="str">
        <x:f>IF(F34&lt;J34,"REORDER","SUFFICIENT")</x:f>
        <x:v>SUFFICIENT</x:v>
      </x:c>
    </x:row>
    <x:row r="35">
      <x:c r="A35" t="str">
        <x:v>PLT-02</x:v>
      </x:c>
      <x:c r="B35" t="str">
        <x:v>Québec City</x:v>
      </x:c>
      <x:c r="C35" t="n">
        <x:v>46113</x:v>
      </x:c>
      <x:c r="D35" t="str">
        <x:v>SKU-004</x:v>
      </x:c>
      <x:c r="E35" t="str">
        <x:v>Field Services</x:v>
      </x:c>
      <x:c r="F35" t="n">
        <x:v>535</x:v>
      </x:c>
      <x:c r="G35" t="n">
        <x:v>164</x:v>
      </x:c>
      <x:c r="H35" t="n">
        <x:v>24</x:v>
      </x:c>
      <x:c r="I35" t="n">
        <x:v>129</x:v>
      </x:c>
      <x:c r="J35" t="n">
        <x:f>ROUNDUP(G35/30*H35+I35,0)</x:f>
        <x:v>261</x:v>
      </x:c>
      <x:c r="K35" t="str">
        <x:f>IF(F35&lt;J35,"REORDER","SUFFICIENT")</x:f>
        <x:v>SUFFICIENT</x:v>
      </x:c>
    </x:row>
    <x:row r="36">
      <x:c r="A36" t="str">
        <x:v>PLT-03</x:v>
      </x:c>
      <x:c r="B36" t="str">
        <x:v>Toronto</x:v>
      </x:c>
      <x:c r="C36" t="n">
        <x:v>46023</x:v>
      </x:c>
      <x:c r="D36" t="str">
        <x:v>SKU-001</x:v>
      </x:c>
      <x:c r="E36" t="str">
        <x:v>Precision Assembly</x:v>
      </x:c>
      <x:c r="F36" t="n">
        <x:v>199</x:v>
      </x:c>
      <x:c r="G36" t="n">
        <x:v>242</x:v>
      </x:c>
      <x:c r="H36" t="n">
        <x:v>20</x:v>
      </x:c>
      <x:c r="I36" t="n">
        <x:v>63</x:v>
      </x:c>
      <x:c r="J36" t="n">
        <x:f>ROUNDUP(G36/30*H36+I36,0)</x:f>
        <x:v>225</x:v>
      </x:c>
      <x:c r="K36" t="str">
        <x:f>IF(F36&lt;J36,"REORDER","SUFFICIENT")</x:f>
        <x:v>REORDER</x:v>
      </x:c>
    </x:row>
    <x:row r="37">
      <x:c r="A37" t="str">
        <x:v>PLT-03</x:v>
      </x:c>
      <x:c r="B37" t="str">
        <x:v>Toronto</x:v>
      </x:c>
      <x:c r="C37" t="n">
        <x:v>46023</x:v>
      </x:c>
      <x:c r="D37" t="str">
        <x:v>SKU-002</x:v>
      </x:c>
      <x:c r="E37" t="str">
        <x:v>Industrial Components</x:v>
      </x:c>
      <x:c r="F37" t="n">
        <x:v>422</x:v>
      </x:c>
      <x:c r="G37" t="n">
        <x:v>154</x:v>
      </x:c>
      <x:c r="H37" t="n">
        <x:v>14</x:v>
      </x:c>
      <x:c r="I37" t="n">
        <x:v>166</x:v>
      </x:c>
      <x:c r="J37" t="n">
        <x:f>ROUNDUP(G37/30*H37+I37,0)</x:f>
        <x:v>238</x:v>
      </x:c>
      <x:c r="K37" t="str">
        <x:f>IF(F37&lt;J37,"REORDER","SUFFICIENT")</x:f>
        <x:v>SUFFICIENT</x:v>
      </x:c>
    </x:row>
    <x:row r="38">
      <x:c r="A38" t="str">
        <x:v>PLT-03</x:v>
      </x:c>
      <x:c r="B38" t="str">
        <x:v>Toronto</x:v>
      </x:c>
      <x:c r="C38" t="n">
        <x:v>46023</x:v>
      </x:c>
      <x:c r="D38" t="str">
        <x:v>SKU-003</x:v>
      </x:c>
      <x:c r="E38" t="str">
        <x:v>Advanced Packaging</x:v>
      </x:c>
      <x:c r="F38" t="n">
        <x:v>654</x:v>
      </x:c>
      <x:c r="G38" t="n">
        <x:v>265</x:v>
      </x:c>
      <x:c r="H38" t="n">
        <x:v>16</x:v>
      </x:c>
      <x:c r="I38" t="n">
        <x:v>116</x:v>
      </x:c>
      <x:c r="J38" t="n">
        <x:f>ROUNDUP(G38/30*H38+I38,0)</x:f>
        <x:v>258</x:v>
      </x:c>
      <x:c r="K38" t="str">
        <x:f>IF(F38&lt;J38,"REORDER","SUFFICIENT")</x:f>
        <x:v>SUFFICIENT</x:v>
      </x:c>
    </x:row>
    <x:row r="39">
      <x:c r="A39" t="str">
        <x:v>PLT-03</x:v>
      </x:c>
      <x:c r="B39" t="str">
        <x:v>Toronto</x:v>
      </x:c>
      <x:c r="C39" t="n">
        <x:v>46023</x:v>
      </x:c>
      <x:c r="D39" t="str">
        <x:v>SKU-004</x:v>
      </x:c>
      <x:c r="E39" t="str">
        <x:v>Field Services</x:v>
      </x:c>
      <x:c r="F39" t="n">
        <x:v>78</x:v>
      </x:c>
      <x:c r="G39" t="n">
        <x:v>138</x:v>
      </x:c>
      <x:c r="H39" t="n">
        <x:v>4</x:v>
      </x:c>
      <x:c r="I39" t="n">
        <x:v>135</x:v>
      </x:c>
      <x:c r="J39" t="n">
        <x:f>ROUNDUP(G39/30*H39+I39,0)</x:f>
        <x:v>154</x:v>
      </x:c>
      <x:c r="K39" t="str">
        <x:f>IF(F39&lt;J39,"REORDER","SUFFICIENT")</x:f>
        <x:v>REORDER</x:v>
      </x:c>
    </x:row>
    <x:row r="40">
      <x:c r="A40" t="str">
        <x:v>PLT-03</x:v>
      </x:c>
      <x:c r="B40" t="str">
        <x:v>Toronto</x:v>
      </x:c>
      <x:c r="C40" t="n">
        <x:v>46054</x:v>
      </x:c>
      <x:c r="D40" t="str">
        <x:v>SKU-001</x:v>
      </x:c>
      <x:c r="E40" t="str">
        <x:v>Precision Assembly</x:v>
      </x:c>
      <x:c r="F40" t="n">
        <x:v>753</x:v>
      </x:c>
      <x:c r="G40" t="n">
        <x:v>43</x:v>
      </x:c>
      <x:c r="H40" t="n">
        <x:v>5</x:v>
      </x:c>
      <x:c r="I40" t="n">
        <x:v>130</x:v>
      </x:c>
      <x:c r="J40" t="n">
        <x:f>ROUNDUP(G40/30*H40+I40,0)</x:f>
        <x:v>138</x:v>
      </x:c>
      <x:c r="K40" t="str">
        <x:f>IF(F40&lt;J40,"REORDER","SUFFICIENT")</x:f>
        <x:v>SUFFICIENT</x:v>
      </x:c>
    </x:row>
    <x:row r="41">
      <x:c r="A41" t="str">
        <x:v>PLT-03</x:v>
      </x:c>
      <x:c r="B41" t="str">
        <x:v>Toronto</x:v>
      </x:c>
      <x:c r="C41" t="n">
        <x:v>46054</x:v>
      </x:c>
      <x:c r="D41" t="str">
        <x:v>SKU-002</x:v>
      </x:c>
      <x:c r="E41" t="str">
        <x:v>Industrial Components</x:v>
      </x:c>
      <x:c r="F41" t="n">
        <x:v>502</x:v>
      </x:c>
      <x:c r="G41" t="n">
        <x:v>255</x:v>
      </x:c>
      <x:c r="H41" t="n">
        <x:v>15</x:v>
      </x:c>
      <x:c r="I41" t="n">
        <x:v>129</x:v>
      </x:c>
      <x:c r="J41" t="n">
        <x:f>ROUNDUP(G41/30*H41+I41,0)</x:f>
        <x:v>257</x:v>
      </x:c>
      <x:c r="K41" t="str">
        <x:f>IF(F41&lt;J41,"REORDER","SUFFICIENT")</x:f>
        <x:v>SUFFICIENT</x:v>
      </x:c>
    </x:row>
    <x:row r="42">
      <x:c r="A42" t="str">
        <x:v>PLT-03</x:v>
      </x:c>
      <x:c r="B42" t="str">
        <x:v>Toronto</x:v>
      </x:c>
      <x:c r="C42" t="n">
        <x:v>46054</x:v>
      </x:c>
      <x:c r="D42" t="str">
        <x:v>SKU-003</x:v>
      </x:c>
      <x:c r="E42" t="str">
        <x:v>Advanced Packaging</x:v>
      </x:c>
      <x:c r="F42" t="n">
        <x:v>74</x:v>
      </x:c>
      <x:c r="G42" t="n">
        <x:v>113</x:v>
      </x:c>
      <x:c r="H42" t="n">
        <x:v>22</x:v>
      </x:c>
      <x:c r="I42" t="n">
        <x:v>82</x:v>
      </x:c>
      <x:c r="J42" t="n">
        <x:f>ROUNDUP(G42/30*H42+I42,0)</x:f>
        <x:v>165</x:v>
      </x:c>
      <x:c r="K42" t="str">
        <x:f>IF(F42&lt;J42,"REORDER","SUFFICIENT")</x:f>
        <x:v>REORDER</x:v>
      </x:c>
    </x:row>
    <x:row r="43">
      <x:c r="A43" t="str">
        <x:v>PLT-03</x:v>
      </x:c>
      <x:c r="B43" t="str">
        <x:v>Toronto</x:v>
      </x:c>
      <x:c r="C43" t="n">
        <x:v>46054</x:v>
      </x:c>
      <x:c r="D43" t="str">
        <x:v>SKU-004</x:v>
      </x:c>
      <x:c r="E43" t="str">
        <x:v>Field Services</x:v>
      </x:c>
      <x:c r="F43" t="n">
        <x:v>590</x:v>
      </x:c>
      <x:c r="G43" t="n">
        <x:v>242</x:v>
      </x:c>
      <x:c r="H43" t="n">
        <x:v>15</x:v>
      </x:c>
      <x:c r="I43" t="n">
        <x:v>150</x:v>
      </x:c>
      <x:c r="J43" t="n">
        <x:f>ROUNDUP(G43/30*H43+I43,0)</x:f>
        <x:v>271</x:v>
      </x:c>
      <x:c r="K43" t="str">
        <x:f>IF(F43&lt;J43,"REORDER","SUFFICIENT")</x:f>
        <x:v>SUFFICIENT</x:v>
      </x:c>
    </x:row>
    <x:row r="44">
      <x:c r="A44" t="str">
        <x:v>PLT-03</x:v>
      </x:c>
      <x:c r="B44" t="str">
        <x:v>Toronto</x:v>
      </x:c>
      <x:c r="C44" t="n">
        <x:v>46082</x:v>
      </x:c>
      <x:c r="D44" t="str">
        <x:v>SKU-001</x:v>
      </x:c>
      <x:c r="E44" t="str">
        <x:v>Precision Assembly</x:v>
      </x:c>
      <x:c r="F44" t="n">
        <x:v>204</x:v>
      </x:c>
      <x:c r="G44" t="n">
        <x:v>48</x:v>
      </x:c>
      <x:c r="H44" t="n">
        <x:v>24</x:v>
      </x:c>
      <x:c r="I44" t="n">
        <x:v>80</x:v>
      </x:c>
      <x:c r="J44" t="n">
        <x:f>ROUNDUP(G44/30*H44+I44,0)</x:f>
        <x:v>119</x:v>
      </x:c>
      <x:c r="K44" t="str">
        <x:f>IF(F44&lt;J44,"REORDER","SUFFICIENT")</x:f>
        <x:v>SUFFICIENT</x:v>
      </x:c>
    </x:row>
    <x:row r="45">
      <x:c r="A45" t="str">
        <x:v>PLT-03</x:v>
      </x:c>
      <x:c r="B45" t="str">
        <x:v>Toronto</x:v>
      </x:c>
      <x:c r="C45" t="n">
        <x:v>46082</x:v>
      </x:c>
      <x:c r="D45" t="str">
        <x:v>SKU-002</x:v>
      </x:c>
      <x:c r="E45" t="str">
        <x:v>Industrial Components</x:v>
      </x:c>
      <x:c r="F45" t="n">
        <x:v>129</x:v>
      </x:c>
      <x:c r="G45" t="n">
        <x:v>172</x:v>
      </x:c>
      <x:c r="H45" t="n">
        <x:v>28</x:v>
      </x:c>
      <x:c r="I45" t="n">
        <x:v>143</x:v>
      </x:c>
      <x:c r="J45" t="n">
        <x:f>ROUNDUP(G45/30*H45+I45,0)</x:f>
        <x:v>304</x:v>
      </x:c>
      <x:c r="K45" t="str">
        <x:f>IF(F45&lt;J45,"REORDER","SUFFICIENT")</x:f>
        <x:v>REORDER</x:v>
      </x:c>
    </x:row>
    <x:row r="46">
      <x:c r="A46" t="str">
        <x:v>PLT-03</x:v>
      </x:c>
      <x:c r="B46" t="str">
        <x:v>Toronto</x:v>
      </x:c>
      <x:c r="C46" t="n">
        <x:v>46082</x:v>
      </x:c>
      <x:c r="D46" t="str">
        <x:v>SKU-003</x:v>
      </x:c>
      <x:c r="E46" t="str">
        <x:v>Advanced Packaging</x:v>
      </x:c>
      <x:c r="F46" t="n">
        <x:v>292</x:v>
      </x:c>
      <x:c r="G46" t="n">
        <x:v>124</x:v>
      </x:c>
      <x:c r="H46" t="n">
        <x:v>7</x:v>
      </x:c>
      <x:c r="I46" t="n">
        <x:v>124</x:v>
      </x:c>
      <x:c r="J46" t="n">
        <x:f>ROUNDUP(G46/30*H46+I46,0)</x:f>
        <x:v>153</x:v>
      </x:c>
      <x:c r="K46" t="str">
        <x:f>IF(F46&lt;J46,"REORDER","SUFFICIENT")</x:f>
        <x:v>SUFFICIENT</x:v>
      </x:c>
    </x:row>
    <x:row r="47">
      <x:c r="A47" t="str">
        <x:v>PLT-03</x:v>
      </x:c>
      <x:c r="B47" t="str">
        <x:v>Toronto</x:v>
      </x:c>
      <x:c r="C47" t="n">
        <x:v>46082</x:v>
      </x:c>
      <x:c r="D47" t="str">
        <x:v>SKU-004</x:v>
      </x:c>
      <x:c r="E47" t="str">
        <x:v>Field Services</x:v>
      </x:c>
      <x:c r="F47" t="n">
        <x:v>191</x:v>
      </x:c>
      <x:c r="G47" t="n">
        <x:v>122</x:v>
      </x:c>
      <x:c r="H47" t="n">
        <x:v>14</x:v>
      </x:c>
      <x:c r="I47" t="n">
        <x:v>61</x:v>
      </x:c>
      <x:c r="J47" t="n">
        <x:f>ROUNDUP(G47/30*H47+I47,0)</x:f>
        <x:v>118</x:v>
      </x:c>
      <x:c r="K47" t="str">
        <x:f>IF(F47&lt;J47,"REORDER","SUFFICIENT")</x:f>
        <x:v>SUFFICIENT</x:v>
      </x:c>
    </x:row>
    <x:row r="48">
      <x:c r="A48" t="str">
        <x:v>PLT-03</x:v>
      </x:c>
      <x:c r="B48" t="str">
        <x:v>Toronto</x:v>
      </x:c>
      <x:c r="C48" t="n">
        <x:v>46113</x:v>
      </x:c>
      <x:c r="D48" t="str">
        <x:v>SKU-001</x:v>
      </x:c>
      <x:c r="E48" t="str">
        <x:v>Precision Assembly</x:v>
      </x:c>
      <x:c r="F48" t="n">
        <x:v>287</x:v>
      </x:c>
      <x:c r="G48" t="n">
        <x:v>312</x:v>
      </x:c>
      <x:c r="H48" t="n">
        <x:v>9</x:v>
      </x:c>
      <x:c r="I48" t="n">
        <x:v>124</x:v>
      </x:c>
      <x:c r="J48" t="n">
        <x:f>ROUNDUP(G48/30*H48+I48,0)</x:f>
        <x:v>218</x:v>
      </x:c>
      <x:c r="K48" t="str">
        <x:f>IF(F48&lt;J48,"REORDER","SUFFICIENT")</x:f>
        <x:v>SUFFICIENT</x:v>
      </x:c>
    </x:row>
    <x:row r="49">
      <x:c r="A49" t="str">
        <x:v>PLT-03</x:v>
      </x:c>
      <x:c r="B49" t="str">
        <x:v>Toronto</x:v>
      </x:c>
      <x:c r="C49" t="n">
        <x:v>46113</x:v>
      </x:c>
      <x:c r="D49" t="str">
        <x:v>SKU-002</x:v>
      </x:c>
      <x:c r="E49" t="str">
        <x:v>Industrial Components</x:v>
      </x:c>
      <x:c r="F49" t="n">
        <x:v>529</x:v>
      </x:c>
      <x:c r="G49" t="n">
        <x:v>146</x:v>
      </x:c>
      <x:c r="H49" t="n">
        <x:v>12</x:v>
      </x:c>
      <x:c r="I49" t="n">
        <x:v>81</x:v>
      </x:c>
      <x:c r="J49" t="n">
        <x:f>ROUNDUP(G49/30*H49+I49,0)</x:f>
        <x:v>140</x:v>
      </x:c>
      <x:c r="K49" t="str">
        <x:f>IF(F49&lt;J49,"REORDER","SUFFICIENT")</x:f>
        <x:v>SUFFICIENT</x:v>
      </x:c>
    </x:row>
    <x:row r="50">
      <x:c r="A50" t="str">
        <x:v>PLT-03</x:v>
      </x:c>
      <x:c r="B50" t="str">
        <x:v>Toronto</x:v>
      </x:c>
      <x:c r="C50" t="n">
        <x:v>46113</x:v>
      </x:c>
      <x:c r="D50" t="str">
        <x:v>SKU-003</x:v>
      </x:c>
      <x:c r="E50" t="str">
        <x:v>Advanced Packaging</x:v>
      </x:c>
      <x:c r="F50" t="n">
        <x:v>396</x:v>
      </x:c>
      <x:c r="G50" t="n">
        <x:v>295</x:v>
      </x:c>
      <x:c r="H50" t="n">
        <x:v>16</x:v>
      </x:c>
      <x:c r="I50" t="n">
        <x:v>187</x:v>
      </x:c>
      <x:c r="J50" t="n">
        <x:f>ROUNDUP(G50/30*H50+I50,0)</x:f>
        <x:v>345</x:v>
      </x:c>
      <x:c r="K50" t="str">
        <x:f>IF(F50&lt;J50,"REORDER","SUFFICIENT")</x:f>
        <x:v>SUFFICIENT</x:v>
      </x:c>
    </x:row>
    <x:row r="51">
      <x:c r="A51" t="str">
        <x:v>PLT-03</x:v>
      </x:c>
      <x:c r="B51" t="str">
        <x:v>Toronto</x:v>
      </x:c>
      <x:c r="C51" t="n">
        <x:v>46113</x:v>
      </x:c>
      <x:c r="D51" t="str">
        <x:v>SKU-004</x:v>
      </x:c>
      <x:c r="E51" t="str">
        <x:v>Field Services</x:v>
      </x:c>
      <x:c r="F51" t="n">
        <x:v>398</x:v>
      </x:c>
      <x:c r="G51" t="n">
        <x:v>263</x:v>
      </x:c>
      <x:c r="H51" t="n">
        <x:v>18</x:v>
      </x:c>
      <x:c r="I51" t="n">
        <x:v>148</x:v>
      </x:c>
      <x:c r="J51" t="n">
        <x:f>ROUNDUP(G51/30*H51+I51,0)</x:f>
        <x:v>306</x:v>
      </x:c>
      <x:c r="K51" t="str">
        <x:f>IF(F51&lt;J51,"REORDER","SUFFICIENT")</x:f>
        <x:v>SUFFICIENT</x:v>
      </x:c>
    </x:row>
    <x:row r="52">
      <x:c r="A52" t="str">
        <x:v>PLT-04</x:v>
      </x:c>
      <x:c r="B52" t="str">
        <x:v>Ottawa</x:v>
      </x:c>
      <x:c r="C52" t="n">
        <x:v>46023</x:v>
      </x:c>
      <x:c r="D52" t="str">
        <x:v>SKU-001</x:v>
      </x:c>
      <x:c r="E52" t="str">
        <x:v>Precision Assembly</x:v>
      </x:c>
      <x:c r="F52" t="n">
        <x:v>334</x:v>
      </x:c>
      <x:c r="G52" t="n">
        <x:v>168</x:v>
      </x:c>
      <x:c r="H52" t="n">
        <x:v>10</x:v>
      </x:c>
      <x:c r="I52" t="n">
        <x:v>145</x:v>
      </x:c>
      <x:c r="J52" t="n">
        <x:f>ROUNDUP(G52/30*H52+I52,0)</x:f>
        <x:v>201</x:v>
      </x:c>
      <x:c r="K52" t="str">
        <x:f>IF(F52&lt;J52,"REORDER","SUFFICIENT")</x:f>
        <x:v>SUFFICIENT</x:v>
      </x:c>
    </x:row>
    <x:row r="53">
      <x:c r="A53" t="str">
        <x:v>PLT-04</x:v>
      </x:c>
      <x:c r="B53" t="str">
        <x:v>Ottawa</x:v>
      </x:c>
      <x:c r="C53" t="n">
        <x:v>46023</x:v>
      </x:c>
      <x:c r="D53" t="str">
        <x:v>SKU-002</x:v>
      </x:c>
      <x:c r="E53" t="str">
        <x:v>Industrial Components</x:v>
      </x:c>
      <x:c r="F53" t="n">
        <x:v>258</x:v>
      </x:c>
      <x:c r="G53" t="n">
        <x:v>38</x:v>
      </x:c>
      <x:c r="H53" t="n">
        <x:v>19</x:v>
      </x:c>
      <x:c r="I53" t="n">
        <x:v>178</x:v>
      </x:c>
      <x:c r="J53" t="n">
        <x:f>ROUNDUP(G53/30*H53+I53,0)</x:f>
        <x:v>203</x:v>
      </x:c>
      <x:c r="K53" t="str">
        <x:f>IF(F53&lt;J53,"REORDER","SUFFICIENT")</x:f>
        <x:v>SUFFICIENT</x:v>
      </x:c>
    </x:row>
    <x:row r="54">
      <x:c r="A54" t="str">
        <x:v>PLT-04</x:v>
      </x:c>
      <x:c r="B54" t="str">
        <x:v>Ottawa</x:v>
      </x:c>
      <x:c r="C54" t="n">
        <x:v>46023</x:v>
      </x:c>
      <x:c r="D54" t="str">
        <x:v>SKU-003</x:v>
      </x:c>
      <x:c r="E54" t="str">
        <x:v>Advanced Packaging</x:v>
      </x:c>
      <x:c r="F54" t="n">
        <x:v>726</x:v>
      </x:c>
      <x:c r="G54" t="n">
        <x:v>252</x:v>
      </x:c>
      <x:c r="H54" t="n">
        <x:v>5</x:v>
      </x:c>
      <x:c r="I54" t="n">
        <x:v>188</x:v>
      </x:c>
      <x:c r="J54" t="n">
        <x:f>ROUNDUP(G54/30*H54+I54,0)</x:f>
        <x:v>230</x:v>
      </x:c>
      <x:c r="K54" t="str">
        <x:f>IF(F54&lt;J54,"REORDER","SUFFICIENT")</x:f>
        <x:v>SUFFICIENT</x:v>
      </x:c>
    </x:row>
    <x:row r="55">
      <x:c r="A55" t="str">
        <x:v>PLT-04</x:v>
      </x:c>
      <x:c r="B55" t="str">
        <x:v>Ottawa</x:v>
      </x:c>
      <x:c r="C55" t="n">
        <x:v>46023</x:v>
      </x:c>
      <x:c r="D55" t="str">
        <x:v>SKU-004</x:v>
      </x:c>
      <x:c r="E55" t="str">
        <x:v>Field Services</x:v>
      </x:c>
      <x:c r="F55" t="n">
        <x:v>516</x:v>
      </x:c>
      <x:c r="G55" t="n">
        <x:v>152</x:v>
      </x:c>
      <x:c r="H55" t="n">
        <x:v>26</x:v>
      </x:c>
      <x:c r="I55" t="n">
        <x:v>85</x:v>
      </x:c>
      <x:c r="J55" t="n">
        <x:f>ROUNDUP(G55/30*H55+I55,0)</x:f>
        <x:v>217</x:v>
      </x:c>
      <x:c r="K55" t="str">
        <x:f>IF(F55&lt;J55,"REORDER","SUFFICIENT")</x:f>
        <x:v>SUFFICIENT</x:v>
      </x:c>
    </x:row>
    <x:row r="56">
      <x:c r="A56" t="str">
        <x:v>PLT-04</x:v>
      </x:c>
      <x:c r="B56" t="str">
        <x:v>Ottawa</x:v>
      </x:c>
      <x:c r="C56" t="n">
        <x:v>46054</x:v>
      </x:c>
      <x:c r="D56" t="str">
        <x:v>SKU-001</x:v>
      </x:c>
      <x:c r="E56" t="str">
        <x:v>Precision Assembly</x:v>
      </x:c>
      <x:c r="F56" t="n">
        <x:v>483</x:v>
      </x:c>
      <x:c r="G56" t="n">
        <x:v>190</x:v>
      </x:c>
      <x:c r="H56" t="n">
        <x:v>9</x:v>
      </x:c>
      <x:c r="I56" t="n">
        <x:v>148</x:v>
      </x:c>
      <x:c r="J56" t="n">
        <x:f>ROUNDUP(G56/30*H56+I56,0)</x:f>
        <x:v>205</x:v>
      </x:c>
      <x:c r="K56" t="str">
        <x:f>IF(F56&lt;J56,"REORDER","SUFFICIENT")</x:f>
        <x:v>SUFFICIENT</x:v>
      </x:c>
    </x:row>
    <x:row r="57">
      <x:c r="A57" t="str">
        <x:v>PLT-04</x:v>
      </x:c>
      <x:c r="B57" t="str">
        <x:v>Ottawa</x:v>
      </x:c>
      <x:c r="C57" t="n">
        <x:v>46054</x:v>
      </x:c>
      <x:c r="D57" t="str">
        <x:v>SKU-002</x:v>
      </x:c>
      <x:c r="E57" t="str">
        <x:v>Industrial Components</x:v>
      </x:c>
      <x:c r="F57" t="n">
        <x:v>229</x:v>
      </x:c>
      <x:c r="G57" t="n">
        <x:v>122</x:v>
      </x:c>
      <x:c r="H57" t="n">
        <x:v>4</x:v>
      </x:c>
      <x:c r="I57" t="n">
        <x:v>143</x:v>
      </x:c>
      <x:c r="J57" t="n">
        <x:f>ROUNDUP(G57/30*H57+I57,0)</x:f>
        <x:v>160</x:v>
      </x:c>
      <x:c r="K57" t="str">
        <x:f>IF(F57&lt;J57,"REORDER","SUFFICIENT")</x:f>
        <x:v>SUFFICIENT</x:v>
      </x:c>
    </x:row>
    <x:row r="58">
      <x:c r="A58" t="str">
        <x:v>PLT-04</x:v>
      </x:c>
      <x:c r="B58" t="str">
        <x:v>Ottawa</x:v>
      </x:c>
      <x:c r="C58" t="n">
        <x:v>46054</x:v>
      </x:c>
      <x:c r="D58" t="str">
        <x:v>SKU-003</x:v>
      </x:c>
      <x:c r="E58" t="str">
        <x:v>Advanced Packaging</x:v>
      </x:c>
      <x:c r="F58" t="n">
        <x:v>629</x:v>
      </x:c>
      <x:c r="G58" t="n">
        <x:v>240</x:v>
      </x:c>
      <x:c r="H58" t="n">
        <x:v>25</x:v>
      </x:c>
      <x:c r="I58" t="n">
        <x:v>74</x:v>
      </x:c>
      <x:c r="J58" t="n">
        <x:f>ROUNDUP(G58/30*H58+I58,0)</x:f>
        <x:v>274</x:v>
      </x:c>
      <x:c r="K58" t="str">
        <x:f>IF(F58&lt;J58,"REORDER","SUFFICIENT")</x:f>
        <x:v>SUFFICIENT</x:v>
      </x:c>
    </x:row>
    <x:row r="59">
      <x:c r="A59" t="str">
        <x:v>PLT-04</x:v>
      </x:c>
      <x:c r="B59" t="str">
        <x:v>Ottawa</x:v>
      </x:c>
      <x:c r="C59" t="n">
        <x:v>46054</x:v>
      </x:c>
      <x:c r="D59" t="str">
        <x:v>SKU-004</x:v>
      </x:c>
      <x:c r="E59" t="str">
        <x:v>Field Services</x:v>
      </x:c>
      <x:c r="F59" t="n">
        <x:v>521</x:v>
      </x:c>
      <x:c r="G59" t="n">
        <x:v>60</x:v>
      </x:c>
      <x:c r="H59" t="n">
        <x:v>20</x:v>
      </x:c>
      <x:c r="I59" t="n">
        <x:v>180</x:v>
      </x:c>
      <x:c r="J59" t="n">
        <x:f>ROUNDUP(G59/30*H59+I59,0)</x:f>
        <x:v>220</x:v>
      </x:c>
      <x:c r="K59" t="str">
        <x:f>IF(F59&lt;J59,"REORDER","SUFFICIENT")</x:f>
        <x:v>SUFFICIENT</x:v>
      </x:c>
    </x:row>
    <x:row r="60">
      <x:c r="A60" t="str">
        <x:v>PLT-04</x:v>
      </x:c>
      <x:c r="B60" t="str">
        <x:v>Ottawa</x:v>
      </x:c>
      <x:c r="C60" t="n">
        <x:v>46082</x:v>
      </x:c>
      <x:c r="D60" t="str">
        <x:v>SKU-001</x:v>
      </x:c>
      <x:c r="E60" t="str">
        <x:v>Precision Assembly</x:v>
      </x:c>
      <x:c r="F60" t="n">
        <x:v>648</x:v>
      </x:c>
      <x:c r="G60" t="n">
        <x:v>221</x:v>
      </x:c>
      <x:c r="H60" t="n">
        <x:v>17</x:v>
      </x:c>
      <x:c r="I60" t="n">
        <x:v>146</x:v>
      </x:c>
      <x:c r="J60" t="n">
        <x:f>ROUNDUP(G60/30*H60+I60,0)</x:f>
        <x:v>272</x:v>
      </x:c>
      <x:c r="K60" t="str">
        <x:f>IF(F60&lt;J60,"REORDER","SUFFICIENT")</x:f>
        <x:v>SUFFICIENT</x:v>
      </x:c>
    </x:row>
    <x:row r="61">
      <x:c r="A61" t="str">
        <x:v>PLT-04</x:v>
      </x:c>
      <x:c r="B61" t="str">
        <x:v>Ottawa</x:v>
      </x:c>
      <x:c r="C61" t="n">
        <x:v>46082</x:v>
      </x:c>
      <x:c r="D61" t="str">
        <x:v>SKU-002</x:v>
      </x:c>
      <x:c r="E61" t="str">
        <x:v>Industrial Components</x:v>
      </x:c>
      <x:c r="F61" t="n">
        <x:v>296</x:v>
      </x:c>
      <x:c r="G61" t="n">
        <x:v>200</x:v>
      </x:c>
      <x:c r="H61" t="n">
        <x:v>14</x:v>
      </x:c>
      <x:c r="I61" t="n">
        <x:v>118</x:v>
      </x:c>
      <x:c r="J61" t="n">
        <x:f>ROUNDUP(G61/30*H61+I61,0)</x:f>
        <x:v>212</x:v>
      </x:c>
      <x:c r="K61" t="str">
        <x:f>IF(F61&lt;J61,"REORDER","SUFFICIENT")</x:f>
        <x:v>SUFFICIENT</x:v>
      </x:c>
    </x:row>
    <x:row r="62">
      <x:c r="A62" t="str">
        <x:v>PLT-04</x:v>
      </x:c>
      <x:c r="B62" t="str">
        <x:v>Ottawa</x:v>
      </x:c>
      <x:c r="C62" t="n">
        <x:v>46082</x:v>
      </x:c>
      <x:c r="D62" t="str">
        <x:v>SKU-003</x:v>
      </x:c>
      <x:c r="E62" t="str">
        <x:v>Advanced Packaging</x:v>
      </x:c>
      <x:c r="F62" t="n">
        <x:v>111</x:v>
      </x:c>
      <x:c r="G62" t="n">
        <x:v>327</x:v>
      </x:c>
      <x:c r="H62" t="n">
        <x:v>9</x:v>
      </x:c>
      <x:c r="I62" t="n">
        <x:v>66</x:v>
      </x:c>
      <x:c r="J62" t="n">
        <x:f>ROUNDUP(G62/30*H62+I62,0)</x:f>
        <x:v>165</x:v>
      </x:c>
      <x:c r="K62" t="str">
        <x:f>IF(F62&lt;J62,"REORDER","SUFFICIENT")</x:f>
        <x:v>REORDER</x:v>
      </x:c>
    </x:row>
    <x:row r="63">
      <x:c r="A63" t="str">
        <x:v>PLT-04</x:v>
      </x:c>
      <x:c r="B63" t="str">
        <x:v>Ottawa</x:v>
      </x:c>
      <x:c r="C63" t="n">
        <x:v>46082</x:v>
      </x:c>
      <x:c r="D63" t="str">
        <x:v>SKU-004</x:v>
      </x:c>
      <x:c r="E63" t="str">
        <x:v>Field Services</x:v>
      </x:c>
      <x:c r="F63" t="n">
        <x:v>50</x:v>
      </x:c>
      <x:c r="G63" t="n">
        <x:v>256</x:v>
      </x:c>
      <x:c r="H63" t="n">
        <x:v>20</x:v>
      </x:c>
      <x:c r="I63" t="n">
        <x:v>162</x:v>
      </x:c>
      <x:c r="J63" t="n">
        <x:f>ROUNDUP(G63/30*H63+I63,0)</x:f>
        <x:v>333</x:v>
      </x:c>
      <x:c r="K63" t="str">
        <x:f>IF(F63&lt;J63,"REORDER","SUFFICIENT")</x:f>
        <x:v>REORDER</x:v>
      </x:c>
    </x:row>
    <x:row r="64">
      <x:c r="A64" t="str">
        <x:v>PLT-04</x:v>
      </x:c>
      <x:c r="B64" t="str">
        <x:v>Ottawa</x:v>
      </x:c>
      <x:c r="C64" t="n">
        <x:v>46113</x:v>
      </x:c>
      <x:c r="D64" t="str">
        <x:v>SKU-001</x:v>
      </x:c>
      <x:c r="E64" t="str">
        <x:v>Precision Assembly</x:v>
      </x:c>
      <x:c r="F64" t="n">
        <x:v>517</x:v>
      </x:c>
      <x:c r="G64" t="n">
        <x:v>132</x:v>
      </x:c>
      <x:c r="H64" t="n">
        <x:v>22</x:v>
      </x:c>
      <x:c r="I64" t="n">
        <x:v>113</x:v>
      </x:c>
      <x:c r="J64" t="n">
        <x:f>ROUNDUP(G64/30*H64+I64,0)</x:f>
        <x:v>210</x:v>
      </x:c>
      <x:c r="K64" t="str">
        <x:f>IF(F64&lt;J64,"REORDER","SUFFICIENT")</x:f>
        <x:v>SUFFICIENT</x:v>
      </x:c>
    </x:row>
    <x:row r="65">
      <x:c r="A65" t="str">
        <x:v>PLT-04</x:v>
      </x:c>
      <x:c r="B65" t="str">
        <x:v>Ottawa</x:v>
      </x:c>
      <x:c r="C65" t="n">
        <x:v>46113</x:v>
      </x:c>
      <x:c r="D65" t="str">
        <x:v>SKU-002</x:v>
      </x:c>
      <x:c r="E65" t="str">
        <x:v>Industrial Components</x:v>
      </x:c>
      <x:c r="F65" t="n">
        <x:v>741</x:v>
      </x:c>
      <x:c r="G65" t="n">
        <x:v>129</x:v>
      </x:c>
      <x:c r="H65" t="n">
        <x:v>6</x:v>
      </x:c>
      <x:c r="I65" t="n">
        <x:v>159</x:v>
      </x:c>
      <x:c r="J65" t="n">
        <x:f>ROUNDUP(G65/30*H65+I65,0)</x:f>
        <x:v>185</x:v>
      </x:c>
      <x:c r="K65" t="str">
        <x:f>IF(F65&lt;J65,"REORDER","SUFFICIENT")</x:f>
        <x:v>SUFFICIENT</x:v>
      </x:c>
    </x:row>
    <x:row r="66">
      <x:c r="A66" t="str">
        <x:v>PLT-04</x:v>
      </x:c>
      <x:c r="B66" t="str">
        <x:v>Ottawa</x:v>
      </x:c>
      <x:c r="C66" t="n">
        <x:v>46113</x:v>
      </x:c>
      <x:c r="D66" t="str">
        <x:v>SKU-003</x:v>
      </x:c>
      <x:c r="E66" t="str">
        <x:v>Advanced Packaging</x:v>
      </x:c>
      <x:c r="F66" t="n">
        <x:v>178</x:v>
      </x:c>
      <x:c r="G66" t="n">
        <x:v>115</x:v>
      </x:c>
      <x:c r="H66" t="n">
        <x:v>4</x:v>
      </x:c>
      <x:c r="I66" t="n">
        <x:v>83</x:v>
      </x:c>
      <x:c r="J66" t="n">
        <x:f>ROUNDUP(G66/30*H66+I66,0)</x:f>
        <x:v>99</x:v>
      </x:c>
      <x:c r="K66" t="str">
        <x:f>IF(F66&lt;J66,"REORDER","SUFFICIENT")</x:f>
        <x:v>SUFFICIENT</x:v>
      </x:c>
    </x:row>
    <x:row r="67">
      <x:c r="A67" t="str">
        <x:v>PLT-04</x:v>
      </x:c>
      <x:c r="B67" t="str">
        <x:v>Ottawa</x:v>
      </x:c>
      <x:c r="C67" t="n">
        <x:v>46113</x:v>
      </x:c>
      <x:c r="D67" t="str">
        <x:v>SKU-004</x:v>
      </x:c>
      <x:c r="E67" t="str">
        <x:v>Field Services</x:v>
      </x:c>
      <x:c r="F67" t="n">
        <x:v>221</x:v>
      </x:c>
      <x:c r="G67" t="n">
        <x:v>51</x:v>
      </x:c>
      <x:c r="H67" t="n">
        <x:v>20</x:v>
      </x:c>
      <x:c r="I67" t="n">
        <x:v>64</x:v>
      </x:c>
      <x:c r="J67" t="n">
        <x:f>ROUNDUP(G67/30*H67+I67,0)</x:f>
        <x:v>98</x:v>
      </x:c>
      <x:c r="K67" t="str">
        <x:f>IF(F67&lt;J67,"REORDER","SUFFICIENT")</x:f>
        <x:v>SUFFICIENT</x:v>
      </x:c>
    </x:row>
    <x:row r="68">
      <x:c r="A68" t="str">
        <x:v>PLT-05</x:v>
      </x:c>
      <x:c r="B68" t="str">
        <x:v>Hamilton</x:v>
      </x:c>
      <x:c r="C68" t="n">
        <x:v>46023</x:v>
      </x:c>
      <x:c r="D68" t="str">
        <x:v>SKU-001</x:v>
      </x:c>
      <x:c r="E68" t="str">
        <x:v>Precision Assembly</x:v>
      </x:c>
      <x:c r="F68" t="n">
        <x:v>526</x:v>
      </x:c>
      <x:c r="G68" t="n">
        <x:v>295</x:v>
      </x:c>
      <x:c r="H68" t="n">
        <x:v>19</x:v>
      </x:c>
      <x:c r="I68" t="n">
        <x:v>166</x:v>
      </x:c>
      <x:c r="J68" t="n">
        <x:f>ROUNDUP(G68/30*H68+I68,0)</x:f>
        <x:v>353</x:v>
      </x:c>
      <x:c r="K68" t="str">
        <x:f>IF(F68&lt;J68,"REORDER","SUFFICIENT")</x:f>
        <x:v>SUFFICIENT</x:v>
      </x:c>
    </x:row>
    <x:row r="69">
      <x:c r="A69" t="str">
        <x:v>PLT-05</x:v>
      </x:c>
      <x:c r="B69" t="str">
        <x:v>Hamilton</x:v>
      </x:c>
      <x:c r="C69" t="n">
        <x:v>46023</x:v>
      </x:c>
      <x:c r="D69" t="str">
        <x:v>SKU-002</x:v>
      </x:c>
      <x:c r="E69" t="str">
        <x:v>Industrial Components</x:v>
      </x:c>
      <x:c r="F69" t="n">
        <x:v>384</x:v>
      </x:c>
      <x:c r="G69" t="n">
        <x:v>135</x:v>
      </x:c>
      <x:c r="H69" t="n">
        <x:v>11</x:v>
      </x:c>
      <x:c r="I69" t="n">
        <x:v>65</x:v>
      </x:c>
      <x:c r="J69" t="n">
        <x:f>ROUNDUP(G69/30*H69+I69,0)</x:f>
        <x:v>115</x:v>
      </x:c>
      <x:c r="K69" t="str">
        <x:f>IF(F69&lt;J69,"REORDER","SUFFICIENT")</x:f>
        <x:v>SUFFICIENT</x:v>
      </x:c>
    </x:row>
    <x:row r="70">
      <x:c r="A70" t="str">
        <x:v>PLT-05</x:v>
      </x:c>
      <x:c r="B70" t="str">
        <x:v>Hamilton</x:v>
      </x:c>
      <x:c r="C70" t="n">
        <x:v>46023</x:v>
      </x:c>
      <x:c r="D70" t="str">
        <x:v>SKU-003</x:v>
      </x:c>
      <x:c r="E70" t="str">
        <x:v>Advanced Packaging</x:v>
      </x:c>
      <x:c r="F70" t="n">
        <x:v>690</x:v>
      </x:c>
      <x:c r="G70" t="n">
        <x:v>312</x:v>
      </x:c>
      <x:c r="H70" t="n">
        <x:v>11</x:v>
      </x:c>
      <x:c r="I70" t="n">
        <x:v>62</x:v>
      </x:c>
      <x:c r="J70" t="n">
        <x:f>ROUNDUP(G70/30*H70+I70,0)</x:f>
        <x:v>177</x:v>
      </x:c>
      <x:c r="K70" t="str">
        <x:f>IF(F70&lt;J70,"REORDER","SUFFICIENT")</x:f>
        <x:v>SUFFICIENT</x:v>
      </x:c>
    </x:row>
    <x:row r="71">
      <x:c r="A71" t="str">
        <x:v>PLT-05</x:v>
      </x:c>
      <x:c r="B71" t="str">
        <x:v>Hamilton</x:v>
      </x:c>
      <x:c r="C71" t="n">
        <x:v>46023</x:v>
      </x:c>
      <x:c r="D71" t="str">
        <x:v>SKU-004</x:v>
      </x:c>
      <x:c r="E71" t="str">
        <x:v>Field Services</x:v>
      </x:c>
      <x:c r="F71" t="n">
        <x:v>785</x:v>
      </x:c>
      <x:c r="G71" t="n">
        <x:v>266</x:v>
      </x:c>
      <x:c r="H71" t="n">
        <x:v>22</x:v>
      </x:c>
      <x:c r="I71" t="n">
        <x:v>97</x:v>
      </x:c>
      <x:c r="J71" t="n">
        <x:f>ROUNDUP(G71/30*H71+I71,0)</x:f>
        <x:v>293</x:v>
      </x:c>
      <x:c r="K71" t="str">
        <x:f>IF(F71&lt;J71,"REORDER","SUFFICIENT")</x:f>
        <x:v>SUFFICIENT</x:v>
      </x:c>
    </x:row>
    <x:row r="72">
      <x:c r="A72" t="str">
        <x:v>PLT-05</x:v>
      </x:c>
      <x:c r="B72" t="str">
        <x:v>Hamilton</x:v>
      </x:c>
      <x:c r="C72" t="n">
        <x:v>46054</x:v>
      </x:c>
      <x:c r="D72" t="str">
        <x:v>SKU-001</x:v>
      </x:c>
      <x:c r="E72" t="str">
        <x:v>Precision Assembly</x:v>
      </x:c>
      <x:c r="F72" t="n">
        <x:v>72</x:v>
      </x:c>
      <x:c r="G72" t="n">
        <x:v>272</x:v>
      </x:c>
      <x:c r="H72" t="n">
        <x:v>23</x:v>
      </x:c>
      <x:c r="I72" t="n">
        <x:v>104</x:v>
      </x:c>
      <x:c r="J72" t="n">
        <x:f>ROUNDUP(G72/30*H72+I72,0)</x:f>
        <x:v>313</x:v>
      </x:c>
      <x:c r="K72" t="str">
        <x:f>IF(F72&lt;J72,"REORDER","SUFFICIENT")</x:f>
        <x:v>REORDER</x:v>
      </x:c>
    </x:row>
    <x:row r="73">
      <x:c r="A73" t="str">
        <x:v>PLT-05</x:v>
      </x:c>
      <x:c r="B73" t="str">
        <x:v>Hamilton</x:v>
      </x:c>
      <x:c r="C73" t="n">
        <x:v>46054</x:v>
      </x:c>
      <x:c r="D73" t="str">
        <x:v>SKU-002</x:v>
      </x:c>
      <x:c r="E73" t="str">
        <x:v>Industrial Components</x:v>
      </x:c>
      <x:c r="F73" t="n">
        <x:v>699</x:v>
      </x:c>
      <x:c r="G73" t="n">
        <x:v>205</x:v>
      </x:c>
      <x:c r="H73" t="n">
        <x:v>22</x:v>
      </x:c>
      <x:c r="I73" t="n">
        <x:v>173</x:v>
      </x:c>
      <x:c r="J73" t="n">
        <x:f>ROUNDUP(G73/30*H73+I73,0)</x:f>
        <x:v>324</x:v>
      </x:c>
      <x:c r="K73" t="str">
        <x:f>IF(F73&lt;J73,"REORDER","SUFFICIENT")</x:f>
        <x:v>SUFFICIENT</x:v>
      </x:c>
    </x:row>
    <x:row r="74">
      <x:c r="A74" t="str">
        <x:v>PLT-05</x:v>
      </x:c>
      <x:c r="B74" t="str">
        <x:v>Hamilton</x:v>
      </x:c>
      <x:c r="C74" t="n">
        <x:v>46054</x:v>
      </x:c>
      <x:c r="D74" t="str">
        <x:v>SKU-003</x:v>
      </x:c>
      <x:c r="E74" t="str">
        <x:v>Advanced Packaging</x:v>
      </x:c>
      <x:c r="F74" t="n">
        <x:v>350</x:v>
      </x:c>
      <x:c r="G74" t="n">
        <x:v>247</x:v>
      </x:c>
      <x:c r="H74" t="n">
        <x:v>4</x:v>
      </x:c>
      <x:c r="I74" t="n">
        <x:v>87</x:v>
      </x:c>
      <x:c r="J74" t="n">
        <x:f>ROUNDUP(G74/30*H74+I74,0)</x:f>
        <x:v>120</x:v>
      </x:c>
      <x:c r="K74" t="str">
        <x:f>IF(F74&lt;J74,"REORDER","SUFFICIENT")</x:f>
        <x:v>SUFFICIENT</x:v>
      </x:c>
    </x:row>
    <x:row r="75">
      <x:c r="A75" t="str">
        <x:v>PLT-05</x:v>
      </x:c>
      <x:c r="B75" t="str">
        <x:v>Hamilton</x:v>
      </x:c>
      <x:c r="C75" t="n">
        <x:v>46054</x:v>
      </x:c>
      <x:c r="D75" t="str">
        <x:v>SKU-004</x:v>
      </x:c>
      <x:c r="E75" t="str">
        <x:v>Field Services</x:v>
      </x:c>
      <x:c r="F75" t="n">
        <x:v>475</x:v>
      </x:c>
      <x:c r="G75" t="n">
        <x:v>299</x:v>
      </x:c>
      <x:c r="H75" t="n">
        <x:v>10</x:v>
      </x:c>
      <x:c r="I75" t="n">
        <x:v>129</x:v>
      </x:c>
      <x:c r="J75" t="n">
        <x:f>ROUNDUP(G75/30*H75+I75,0)</x:f>
        <x:v>229</x:v>
      </x:c>
      <x:c r="K75" t="str">
        <x:f>IF(F75&lt;J75,"REORDER","SUFFICIENT")</x:f>
        <x:v>SUFFICIENT</x:v>
      </x:c>
    </x:row>
    <x:row r="76">
      <x:c r="A76" t="str">
        <x:v>PLT-05</x:v>
      </x:c>
      <x:c r="B76" t="str">
        <x:v>Hamilton</x:v>
      </x:c>
      <x:c r="C76" t="n">
        <x:v>46082</x:v>
      </x:c>
      <x:c r="D76" t="str">
        <x:v>SKU-001</x:v>
      </x:c>
      <x:c r="E76" t="str">
        <x:v>Precision Assembly</x:v>
      </x:c>
      <x:c r="F76" t="n">
        <x:v>98</x:v>
      </x:c>
      <x:c r="G76" t="n">
        <x:v>100</x:v>
      </x:c>
      <x:c r="H76" t="n">
        <x:v>21</x:v>
      </x:c>
      <x:c r="I76" t="n">
        <x:v>108</x:v>
      </x:c>
      <x:c r="J76" t="n">
        <x:f>ROUNDUP(G76/30*H76+I76,0)</x:f>
        <x:v>178</x:v>
      </x:c>
      <x:c r="K76" t="str">
        <x:f>IF(F76&lt;J76,"REORDER","SUFFICIENT")</x:f>
        <x:v>REORDER</x:v>
      </x:c>
    </x:row>
    <x:row r="77">
      <x:c r="A77" t="str">
        <x:v>PLT-05</x:v>
      </x:c>
      <x:c r="B77" t="str">
        <x:v>Hamilton</x:v>
      </x:c>
      <x:c r="C77" t="n">
        <x:v>46082</x:v>
      </x:c>
      <x:c r="D77" t="str">
        <x:v>SKU-002</x:v>
      </x:c>
      <x:c r="E77" t="str">
        <x:v>Industrial Components</x:v>
      </x:c>
      <x:c r="F77" t="n">
        <x:v>440</x:v>
      </x:c>
      <x:c r="G77" t="n">
        <x:v>171</x:v>
      </x:c>
      <x:c r="H77" t="n">
        <x:v>13</x:v>
      </x:c>
      <x:c r="I77" t="n">
        <x:v>115</x:v>
      </x:c>
      <x:c r="J77" t="n">
        <x:f>ROUNDUP(G77/30*H77+I77,0)</x:f>
        <x:v>190</x:v>
      </x:c>
      <x:c r="K77" t="str">
        <x:f>IF(F77&lt;J77,"REORDER","SUFFICIENT")</x:f>
        <x:v>SUFFICIENT</x:v>
      </x:c>
    </x:row>
    <x:row r="78">
      <x:c r="A78" t="str">
        <x:v>PLT-05</x:v>
      </x:c>
      <x:c r="B78" t="str">
        <x:v>Hamilton</x:v>
      </x:c>
      <x:c r="C78" t="n">
        <x:v>46082</x:v>
      </x:c>
      <x:c r="D78" t="str">
        <x:v>SKU-003</x:v>
      </x:c>
      <x:c r="E78" t="str">
        <x:v>Advanced Packaging</x:v>
      </x:c>
      <x:c r="F78" t="n">
        <x:v>413</x:v>
      </x:c>
      <x:c r="G78" t="n">
        <x:v>329</x:v>
      </x:c>
      <x:c r="H78" t="n">
        <x:v>8</x:v>
      </x:c>
      <x:c r="I78" t="n">
        <x:v>161</x:v>
      </x:c>
      <x:c r="J78" t="n">
        <x:f>ROUNDUP(G78/30*H78+I78,0)</x:f>
        <x:v>249</x:v>
      </x:c>
      <x:c r="K78" t="str">
        <x:f>IF(F78&lt;J78,"REORDER","SUFFICIENT")</x:f>
        <x:v>SUFFICIENT</x:v>
      </x:c>
    </x:row>
    <x:row r="79">
      <x:c r="A79" t="str">
        <x:v>PLT-05</x:v>
      </x:c>
      <x:c r="B79" t="str">
        <x:v>Hamilton</x:v>
      </x:c>
      <x:c r="C79" t="n">
        <x:v>46082</x:v>
      </x:c>
      <x:c r="D79" t="str">
        <x:v>SKU-004</x:v>
      </x:c>
      <x:c r="E79" t="str">
        <x:v>Field Services</x:v>
      </x:c>
      <x:c r="F79" t="n">
        <x:v>569</x:v>
      </x:c>
      <x:c r="G79" t="n">
        <x:v>77</x:v>
      </x:c>
      <x:c r="H79" t="n">
        <x:v>12</x:v>
      </x:c>
      <x:c r="I79" t="n">
        <x:v>173</x:v>
      </x:c>
      <x:c r="J79" t="n">
        <x:f>ROUNDUP(G79/30*H79+I79,0)</x:f>
        <x:v>204</x:v>
      </x:c>
      <x:c r="K79" t="str">
        <x:f>IF(F79&lt;J79,"REORDER","SUFFICIENT")</x:f>
        <x:v>SUFFICIENT</x:v>
      </x:c>
    </x:row>
    <x:row r="80">
      <x:c r="A80" t="str">
        <x:v>PLT-05</x:v>
      </x:c>
      <x:c r="B80" t="str">
        <x:v>Hamilton</x:v>
      </x:c>
      <x:c r="C80" t="n">
        <x:v>46113</x:v>
      </x:c>
      <x:c r="D80" t="str">
        <x:v>SKU-001</x:v>
      </x:c>
      <x:c r="E80" t="str">
        <x:v>Precision Assembly</x:v>
      </x:c>
      <x:c r="F80" t="n">
        <x:v>147</x:v>
      </x:c>
      <x:c r="G80" t="n">
        <x:v>185</x:v>
      </x:c>
      <x:c r="H80" t="n">
        <x:v>5</x:v>
      </x:c>
      <x:c r="I80" t="n">
        <x:v>93</x:v>
      </x:c>
      <x:c r="J80" t="n">
        <x:f>ROUNDUP(G80/30*H80+I80,0)</x:f>
        <x:v>124</x:v>
      </x:c>
      <x:c r="K80" t="str">
        <x:f>IF(F80&lt;J80,"REORDER","SUFFICIENT")</x:f>
        <x:v>SUFFICIENT</x:v>
      </x:c>
    </x:row>
    <x:row r="81">
      <x:c r="A81" t="str">
        <x:v>PLT-05</x:v>
      </x:c>
      <x:c r="B81" t="str">
        <x:v>Hamilton</x:v>
      </x:c>
      <x:c r="C81" t="n">
        <x:v>46113</x:v>
      </x:c>
      <x:c r="D81" t="str">
        <x:v>SKU-002</x:v>
      </x:c>
      <x:c r="E81" t="str">
        <x:v>Industrial Components</x:v>
      </x:c>
      <x:c r="F81" t="n">
        <x:v>121</x:v>
      </x:c>
      <x:c r="G81" t="n">
        <x:v>163</x:v>
      </x:c>
      <x:c r="H81" t="n">
        <x:v>9</x:v>
      </x:c>
      <x:c r="I81" t="n">
        <x:v>115</x:v>
      </x:c>
      <x:c r="J81" t="n">
        <x:f>ROUNDUP(G81/30*H81+I81,0)</x:f>
        <x:v>164</x:v>
      </x:c>
      <x:c r="K81" t="str">
        <x:f>IF(F81&lt;J81,"REORDER","SUFFICIENT")</x:f>
        <x:v>REORDER</x:v>
      </x:c>
    </x:row>
    <x:row r="82">
      <x:c r="A82" t="str">
        <x:v>PLT-05</x:v>
      </x:c>
      <x:c r="B82" t="str">
        <x:v>Hamilton</x:v>
      </x:c>
      <x:c r="C82" t="n">
        <x:v>46113</x:v>
      </x:c>
      <x:c r="D82" t="str">
        <x:v>SKU-003</x:v>
      </x:c>
      <x:c r="E82" t="str">
        <x:v>Advanced Packaging</x:v>
      </x:c>
      <x:c r="F82" t="n">
        <x:v>254</x:v>
      </x:c>
      <x:c r="G82" t="n">
        <x:v>255</x:v>
      </x:c>
      <x:c r="H82" t="n">
        <x:v>24</x:v>
      </x:c>
      <x:c r="I82" t="n">
        <x:v>181</x:v>
      </x:c>
      <x:c r="J82" t="n">
        <x:f>ROUNDUP(G82/30*H82+I82,0)</x:f>
        <x:v>385</x:v>
      </x:c>
      <x:c r="K82" t="str">
        <x:f>IF(F82&lt;J82,"REORDER","SUFFICIENT")</x:f>
        <x:v>REORDER</x:v>
      </x:c>
    </x:row>
    <x:row r="83">
      <x:c r="A83" t="str">
        <x:v>PLT-05</x:v>
      </x:c>
      <x:c r="B83" t="str">
        <x:v>Hamilton</x:v>
      </x:c>
      <x:c r="C83" t="n">
        <x:v>46113</x:v>
      </x:c>
      <x:c r="D83" t="str">
        <x:v>SKU-004</x:v>
      </x:c>
      <x:c r="E83" t="str">
        <x:v>Field Services</x:v>
      </x:c>
      <x:c r="F83" t="n">
        <x:v>496</x:v>
      </x:c>
      <x:c r="G83" t="n">
        <x:v>90</x:v>
      </x:c>
      <x:c r="H83" t="n">
        <x:v>11</x:v>
      </x:c>
      <x:c r="I83" t="n">
        <x:v>88</x:v>
      </x:c>
      <x:c r="J83" t="n">
        <x:f>ROUNDUP(G83/30*H83+I83,0)</x:f>
        <x:v>121</x:v>
      </x:c>
      <x:c r="K83" t="str">
        <x:f>IF(F83&lt;J83,"REORDER","SUFFICIENT")</x:f>
        <x:v>SUFFICIENT</x:v>
      </x:c>
    </x:row>
    <x:row r="84">
      <x:c r="A84" t="str">
        <x:v>PLT-06</x:v>
      </x:c>
      <x:c r="B84" t="str">
        <x:v>London</x:v>
      </x:c>
      <x:c r="C84" t="n">
        <x:v>46023</x:v>
      </x:c>
      <x:c r="D84" t="str">
        <x:v>SKU-001</x:v>
      </x:c>
      <x:c r="E84" t="str">
        <x:v>Precision Assembly</x:v>
      </x:c>
      <x:c r="F84" t="n">
        <x:v>69</x:v>
      </x:c>
      <x:c r="G84" t="n">
        <x:v>235</x:v>
      </x:c>
      <x:c r="H84" t="n">
        <x:v>9</x:v>
      </x:c>
      <x:c r="I84" t="n">
        <x:v>154</x:v>
      </x:c>
      <x:c r="J84" t="n">
        <x:f>ROUNDUP(G84/30*H84+I84,0)</x:f>
        <x:v>225</x:v>
      </x:c>
      <x:c r="K84" t="str">
        <x:f>IF(F84&lt;J84,"REORDER","SUFFICIENT")</x:f>
        <x:v>REORDER</x:v>
      </x:c>
    </x:row>
    <x:row r="85">
      <x:c r="A85" t="str">
        <x:v>PLT-06</x:v>
      </x:c>
      <x:c r="B85" t="str">
        <x:v>London</x:v>
      </x:c>
      <x:c r="C85" t="n">
        <x:v>46023</x:v>
      </x:c>
      <x:c r="D85" t="str">
        <x:v>SKU-002</x:v>
      </x:c>
      <x:c r="E85" t="str">
        <x:v>Industrial Components</x:v>
      </x:c>
      <x:c r="F85" t="n">
        <x:v>131</x:v>
      </x:c>
      <x:c r="G85" t="n">
        <x:v>35</x:v>
      </x:c>
      <x:c r="H85" t="n">
        <x:v>23</x:v>
      </x:c>
      <x:c r="I85" t="n">
        <x:v>80</x:v>
      </x:c>
      <x:c r="J85" t="n">
        <x:f>ROUNDUP(G85/30*H85+I85,0)</x:f>
        <x:v>107</x:v>
      </x:c>
      <x:c r="K85" t="str">
        <x:f>IF(F85&lt;J85,"REORDER","SUFFICIENT")</x:f>
        <x:v>SUFFICIENT</x:v>
      </x:c>
    </x:row>
    <x:row r="86">
      <x:c r="A86" t="str">
        <x:v>PLT-06</x:v>
      </x:c>
      <x:c r="B86" t="str">
        <x:v>London</x:v>
      </x:c>
      <x:c r="C86" t="n">
        <x:v>46023</x:v>
      </x:c>
      <x:c r="D86" t="str">
        <x:v>SKU-003</x:v>
      </x:c>
      <x:c r="E86" t="str">
        <x:v>Advanced Packaging</x:v>
      </x:c>
      <x:c r="F86" t="n">
        <x:v>701</x:v>
      </x:c>
      <x:c r="G86" t="n">
        <x:v>54</x:v>
      </x:c>
      <x:c r="H86" t="n">
        <x:v>21</x:v>
      </x:c>
      <x:c r="I86" t="n">
        <x:v>166</x:v>
      </x:c>
      <x:c r="J86" t="n">
        <x:f>ROUNDUP(G86/30*H86+I86,0)</x:f>
        <x:v>204</x:v>
      </x:c>
      <x:c r="K86" t="str">
        <x:f>IF(F86&lt;J86,"REORDER","SUFFICIENT")</x:f>
        <x:v>SUFFICIENT</x:v>
      </x:c>
    </x:row>
    <x:row r="87">
      <x:c r="A87" t="str">
        <x:v>PLT-06</x:v>
      </x:c>
      <x:c r="B87" t="str">
        <x:v>London</x:v>
      </x:c>
      <x:c r="C87" t="n">
        <x:v>46023</x:v>
      </x:c>
      <x:c r="D87" t="str">
        <x:v>SKU-004</x:v>
      </x:c>
      <x:c r="E87" t="str">
        <x:v>Field Services</x:v>
      </x:c>
      <x:c r="F87" t="n">
        <x:v>255</x:v>
      </x:c>
      <x:c r="G87" t="n">
        <x:v>271</x:v>
      </x:c>
      <x:c r="H87" t="n">
        <x:v>14</x:v>
      </x:c>
      <x:c r="I87" t="n">
        <x:v>117</x:v>
      </x:c>
      <x:c r="J87" t="n">
        <x:f>ROUNDUP(G87/30*H87+I87,0)</x:f>
        <x:v>244</x:v>
      </x:c>
      <x:c r="K87" t="str">
        <x:f>IF(F87&lt;J87,"REORDER","SUFFICIENT")</x:f>
        <x:v>SUFFICIENT</x:v>
      </x:c>
    </x:row>
    <x:row r="88">
      <x:c r="A88" t="str">
        <x:v>PLT-06</x:v>
      </x:c>
      <x:c r="B88" t="str">
        <x:v>London</x:v>
      </x:c>
      <x:c r="C88" t="n">
        <x:v>46054</x:v>
      </x:c>
      <x:c r="D88" t="str">
        <x:v>SKU-001</x:v>
      </x:c>
      <x:c r="E88" t="str">
        <x:v>Precision Assembly</x:v>
      </x:c>
      <x:c r="F88" t="n">
        <x:v>483</x:v>
      </x:c>
      <x:c r="G88" t="n">
        <x:v>214</x:v>
      </x:c>
      <x:c r="H88" t="n">
        <x:v>15</x:v>
      </x:c>
      <x:c r="I88" t="n">
        <x:v>84</x:v>
      </x:c>
      <x:c r="J88" t="n">
        <x:f>ROUNDUP(G88/30*H88+I88,0)</x:f>
        <x:v>191</x:v>
      </x:c>
      <x:c r="K88" t="str">
        <x:f>IF(F88&lt;J88,"REORDER","SUFFICIENT")</x:f>
        <x:v>SUFFICIENT</x:v>
      </x:c>
    </x:row>
    <x:row r="89">
      <x:c r="A89" t="str">
        <x:v>PLT-06</x:v>
      </x:c>
      <x:c r="B89" t="str">
        <x:v>London</x:v>
      </x:c>
      <x:c r="C89" t="n">
        <x:v>46054</x:v>
      </x:c>
      <x:c r="D89" t="str">
        <x:v>SKU-002</x:v>
      </x:c>
      <x:c r="E89" t="str">
        <x:v>Industrial Components</x:v>
      </x:c>
      <x:c r="F89" t="n">
        <x:v>560</x:v>
      </x:c>
      <x:c r="G89" t="n">
        <x:v>227</x:v>
      </x:c>
      <x:c r="H89" t="n">
        <x:v>10</x:v>
      </x:c>
      <x:c r="I89" t="n">
        <x:v>172</x:v>
      </x:c>
      <x:c r="J89" t="n">
        <x:f>ROUNDUP(G89/30*H89+I89,0)</x:f>
        <x:v>248</x:v>
      </x:c>
      <x:c r="K89" t="str">
        <x:f>IF(F89&lt;J89,"REORDER","SUFFICIENT")</x:f>
        <x:v>SUFFICIENT</x:v>
      </x:c>
    </x:row>
    <x:row r="90">
      <x:c r="A90" t="str">
        <x:v>PLT-06</x:v>
      </x:c>
      <x:c r="B90" t="str">
        <x:v>London</x:v>
      </x:c>
      <x:c r="C90" t="n">
        <x:v>46054</x:v>
      </x:c>
      <x:c r="D90" t="str">
        <x:v>SKU-003</x:v>
      </x:c>
      <x:c r="E90" t="str">
        <x:v>Advanced Packaging</x:v>
      </x:c>
      <x:c r="F90" t="n">
        <x:v>275</x:v>
      </x:c>
      <x:c r="G90" t="n">
        <x:v>329</x:v>
      </x:c>
      <x:c r="H90" t="n">
        <x:v>4</x:v>
      </x:c>
      <x:c r="I90" t="n">
        <x:v>157</x:v>
      </x:c>
      <x:c r="J90" t="n">
        <x:f>ROUNDUP(G90/30*H90+I90,0)</x:f>
        <x:v>201</x:v>
      </x:c>
      <x:c r="K90" t="str">
        <x:f>IF(F90&lt;J90,"REORDER","SUFFICIENT")</x:f>
        <x:v>SUFFICIENT</x:v>
      </x:c>
    </x:row>
    <x:row r="91">
      <x:c r="A91" t="str">
        <x:v>PLT-06</x:v>
      </x:c>
      <x:c r="B91" t="str">
        <x:v>London</x:v>
      </x:c>
      <x:c r="C91" t="n">
        <x:v>46054</x:v>
      </x:c>
      <x:c r="D91" t="str">
        <x:v>SKU-004</x:v>
      </x:c>
      <x:c r="E91" t="str">
        <x:v>Field Services</x:v>
      </x:c>
      <x:c r="F91" t="n">
        <x:v>511</x:v>
      </x:c>
      <x:c r="G91" t="n">
        <x:v>298</x:v>
      </x:c>
      <x:c r="H91" t="n">
        <x:v>21</x:v>
      </x:c>
      <x:c r="I91" t="n">
        <x:v>148</x:v>
      </x:c>
      <x:c r="J91" t="n">
        <x:f>ROUNDUP(G91/30*H91+I91,0)</x:f>
        <x:v>357</x:v>
      </x:c>
      <x:c r="K91" t="str">
        <x:f>IF(F91&lt;J91,"REORDER","SUFFICIENT")</x:f>
        <x:v>SUFFICIENT</x:v>
      </x:c>
    </x:row>
    <x:row r="92">
      <x:c r="A92" t="str">
        <x:v>PLT-06</x:v>
      </x:c>
      <x:c r="B92" t="str">
        <x:v>London</x:v>
      </x:c>
      <x:c r="C92" t="n">
        <x:v>46082</x:v>
      </x:c>
      <x:c r="D92" t="str">
        <x:v>SKU-001</x:v>
      </x:c>
      <x:c r="E92" t="str">
        <x:v>Precision Assembly</x:v>
      </x:c>
      <x:c r="F92" t="n">
        <x:v>720</x:v>
      </x:c>
      <x:c r="G92" t="n">
        <x:v>99</x:v>
      </x:c>
      <x:c r="H92" t="n">
        <x:v>17</x:v>
      </x:c>
      <x:c r="I92" t="n">
        <x:v>65</x:v>
      </x:c>
      <x:c r="J92" t="n">
        <x:f>ROUNDUP(G92/30*H92+I92,0)</x:f>
        <x:v>122</x:v>
      </x:c>
      <x:c r="K92" t="str">
        <x:f>IF(F92&lt;J92,"REORDER","SUFFICIENT")</x:f>
        <x:v>SUFFICIENT</x:v>
      </x:c>
    </x:row>
    <x:row r="93">
      <x:c r="A93" t="str">
        <x:v>PLT-06</x:v>
      </x:c>
      <x:c r="B93" t="str">
        <x:v>London</x:v>
      </x:c>
      <x:c r="C93" t="n">
        <x:v>46082</x:v>
      </x:c>
      <x:c r="D93" t="str">
        <x:v>SKU-002</x:v>
      </x:c>
      <x:c r="E93" t="str">
        <x:v>Industrial Components</x:v>
      </x:c>
      <x:c r="F93" t="n">
        <x:v>468</x:v>
      </x:c>
      <x:c r="G93" t="n">
        <x:v>311</x:v>
      </x:c>
      <x:c r="H93" t="n">
        <x:v>20</x:v>
      </x:c>
      <x:c r="I93" t="n">
        <x:v>127</x:v>
      </x:c>
      <x:c r="J93" t="n">
        <x:f>ROUNDUP(G93/30*H93+I93,0)</x:f>
        <x:v>335</x:v>
      </x:c>
      <x:c r="K93" t="str">
        <x:f>IF(F93&lt;J93,"REORDER","SUFFICIENT")</x:f>
        <x:v>SUFFICIENT</x:v>
      </x:c>
    </x:row>
    <x:row r="94">
      <x:c r="A94" t="str">
        <x:v>PLT-06</x:v>
      </x:c>
      <x:c r="B94" t="str">
        <x:v>London</x:v>
      </x:c>
      <x:c r="C94" t="n">
        <x:v>46082</x:v>
      </x:c>
      <x:c r="D94" t="str">
        <x:v>SKU-003</x:v>
      </x:c>
      <x:c r="E94" t="str">
        <x:v>Advanced Packaging</x:v>
      </x:c>
      <x:c r="F94" t="n">
        <x:v>261</x:v>
      </x:c>
      <x:c r="G94" t="n">
        <x:v>185</x:v>
      </x:c>
      <x:c r="H94" t="n">
        <x:v>15</x:v>
      </x:c>
      <x:c r="I94" t="n">
        <x:v>65</x:v>
      </x:c>
      <x:c r="J94" t="n">
        <x:f>ROUNDUP(G94/30*H94+I94,0)</x:f>
        <x:v>158</x:v>
      </x:c>
      <x:c r="K94" t="str">
        <x:f>IF(F94&lt;J94,"REORDER","SUFFICIENT")</x:f>
        <x:v>SUFFICIENT</x:v>
      </x:c>
    </x:row>
    <x:row r="95">
      <x:c r="A95" t="str">
        <x:v>PLT-06</x:v>
      </x:c>
      <x:c r="B95" t="str">
        <x:v>London</x:v>
      </x:c>
      <x:c r="C95" t="n">
        <x:v>46082</x:v>
      </x:c>
      <x:c r="D95" t="str">
        <x:v>SKU-004</x:v>
      </x:c>
      <x:c r="E95" t="str">
        <x:v>Field Services</x:v>
      </x:c>
      <x:c r="F95" t="n">
        <x:v>766</x:v>
      </x:c>
      <x:c r="G95" t="n">
        <x:v>193</x:v>
      </x:c>
      <x:c r="H95" t="n">
        <x:v>28</x:v>
      </x:c>
      <x:c r="I95" t="n">
        <x:v>165</x:v>
      </x:c>
      <x:c r="J95" t="n">
        <x:f>ROUNDUP(G95/30*H95+I95,0)</x:f>
        <x:v>346</x:v>
      </x:c>
      <x:c r="K95" t="str">
        <x:f>IF(F95&lt;J95,"REORDER","SUFFICIENT")</x:f>
        <x:v>SUFFICIENT</x:v>
      </x:c>
    </x:row>
    <x:row r="96">
      <x:c r="A96" t="str">
        <x:v>PLT-06</x:v>
      </x:c>
      <x:c r="B96" t="str">
        <x:v>London</x:v>
      </x:c>
      <x:c r="C96" t="n">
        <x:v>46113</x:v>
      </x:c>
      <x:c r="D96" t="str">
        <x:v>SKU-001</x:v>
      </x:c>
      <x:c r="E96" t="str">
        <x:v>Precision Assembly</x:v>
      </x:c>
      <x:c r="F96" t="n">
        <x:v>158</x:v>
      </x:c>
      <x:c r="G96" t="n">
        <x:v>226</x:v>
      </x:c>
      <x:c r="H96" t="n">
        <x:v>15</x:v>
      </x:c>
      <x:c r="I96" t="n">
        <x:v>114</x:v>
      </x:c>
      <x:c r="J96" t="n">
        <x:f>ROUNDUP(G96/30*H96+I96,0)</x:f>
        <x:v>227</x:v>
      </x:c>
      <x:c r="K96" t="str">
        <x:f>IF(F96&lt;J96,"REORDER","SUFFICIENT")</x:f>
        <x:v>REORDER</x:v>
      </x:c>
    </x:row>
    <x:row r="97">
      <x:c r="A97" t="str">
        <x:v>PLT-06</x:v>
      </x:c>
      <x:c r="B97" t="str">
        <x:v>London</x:v>
      </x:c>
      <x:c r="C97" t="n">
        <x:v>46113</x:v>
      </x:c>
      <x:c r="D97" t="str">
        <x:v>SKU-002</x:v>
      </x:c>
      <x:c r="E97" t="str">
        <x:v>Industrial Components</x:v>
      </x:c>
      <x:c r="F97" t="n">
        <x:v>525</x:v>
      </x:c>
      <x:c r="G97" t="n">
        <x:v>270</x:v>
      </x:c>
      <x:c r="H97" t="n">
        <x:v>22</x:v>
      </x:c>
      <x:c r="I97" t="n">
        <x:v>96</x:v>
      </x:c>
      <x:c r="J97" t="n">
        <x:f>ROUNDUP(G97/30*H97+I97,0)</x:f>
        <x:v>294</x:v>
      </x:c>
      <x:c r="K97" t="str">
        <x:f>IF(F97&lt;J97,"REORDER","SUFFICIENT")</x:f>
        <x:v>SUFFICIENT</x:v>
      </x:c>
    </x:row>
    <x:row r="98">
      <x:c r="A98" t="str">
        <x:v>PLT-06</x:v>
      </x:c>
      <x:c r="B98" t="str">
        <x:v>London</x:v>
      </x:c>
      <x:c r="C98" t="n">
        <x:v>46113</x:v>
      </x:c>
      <x:c r="D98" t="str">
        <x:v>SKU-003</x:v>
      </x:c>
      <x:c r="E98" t="str">
        <x:v>Advanced Packaging</x:v>
      </x:c>
      <x:c r="F98" t="n">
        <x:v>632</x:v>
      </x:c>
      <x:c r="G98" t="n">
        <x:v>39</x:v>
      </x:c>
      <x:c r="H98" t="n">
        <x:v>3</x:v>
      </x:c>
      <x:c r="I98" t="n">
        <x:v>84</x:v>
      </x:c>
      <x:c r="J98" t="n">
        <x:f>ROUNDUP(G98/30*H98+I98,0)</x:f>
        <x:v>88</x:v>
      </x:c>
      <x:c r="K98" t="str">
        <x:f>IF(F98&lt;J98,"REORDER","SUFFICIENT")</x:f>
        <x:v>SUFFICIENT</x:v>
      </x:c>
    </x:row>
    <x:row r="99">
      <x:c r="A99" t="str">
        <x:v>PLT-06</x:v>
      </x:c>
      <x:c r="B99" t="str">
        <x:v>London</x:v>
      </x:c>
      <x:c r="C99" t="n">
        <x:v>46113</x:v>
      </x:c>
      <x:c r="D99" t="str">
        <x:v>SKU-004</x:v>
      </x:c>
      <x:c r="E99" t="str">
        <x:v>Field Services</x:v>
      </x:c>
      <x:c r="F99" t="n">
        <x:v>336</x:v>
      </x:c>
      <x:c r="G99" t="n">
        <x:v>204</x:v>
      </x:c>
      <x:c r="H99" t="n">
        <x:v>26</x:v>
      </x:c>
      <x:c r="I99" t="n">
        <x:v>142</x:v>
      </x:c>
      <x:c r="J99" t="n">
        <x:f>ROUNDUP(G99/30*H99+I99,0)</x:f>
        <x:v>319</x:v>
      </x:c>
      <x:c r="K99" t="str">
        <x:f>IF(F99&lt;J99,"REORDER","SUFFICIENT")</x:f>
        <x:v>SUFFICIENT</x:v>
      </x:c>
    </x:row>
    <x:row r="100">
      <x:c r="A100" t="str">
        <x:v>PLT-07</x:v>
      </x:c>
      <x:c r="B100" t="str">
        <x:v>Winnipeg</x:v>
      </x:c>
      <x:c r="C100" t="n">
        <x:v>46023</x:v>
      </x:c>
      <x:c r="D100" t="str">
        <x:v>SKU-001</x:v>
      </x:c>
      <x:c r="E100" t="str">
        <x:v>Precision Assembly</x:v>
      </x:c>
      <x:c r="F100" t="n">
        <x:v>777</x:v>
      </x:c>
      <x:c r="G100" t="n">
        <x:v>119</x:v>
      </x:c>
      <x:c r="H100" t="n">
        <x:v>19</x:v>
      </x:c>
      <x:c r="I100" t="n">
        <x:v>177</x:v>
      </x:c>
      <x:c r="J100" t="n">
        <x:f>ROUNDUP(G100/30*H100+I100,0)</x:f>
        <x:v>253</x:v>
      </x:c>
      <x:c r="K100" t="str">
        <x:f>IF(F100&lt;J100,"REORDER","SUFFICIENT")</x:f>
        <x:v>SUFFICIENT</x:v>
      </x:c>
    </x:row>
    <x:row r="101">
      <x:c r="A101" t="str">
        <x:v>PLT-07</x:v>
      </x:c>
      <x:c r="B101" t="str">
        <x:v>Winnipeg</x:v>
      </x:c>
      <x:c r="C101" t="n">
        <x:v>46023</x:v>
      </x:c>
      <x:c r="D101" t="str">
        <x:v>SKU-002</x:v>
      </x:c>
      <x:c r="E101" t="str">
        <x:v>Industrial Components</x:v>
      </x:c>
      <x:c r="F101" t="n">
        <x:v>502</x:v>
      </x:c>
      <x:c r="G101" t="n">
        <x:v>76</x:v>
      </x:c>
      <x:c r="H101" t="n">
        <x:v>5</x:v>
      </x:c>
      <x:c r="I101" t="n">
        <x:v>172</x:v>
      </x:c>
      <x:c r="J101" t="n">
        <x:f>ROUNDUP(G101/30*H101+I101,0)</x:f>
        <x:v>185</x:v>
      </x:c>
      <x:c r="K101" t="str">
        <x:f>IF(F101&lt;J101,"REORDER","SUFFICIENT")</x:f>
        <x:v>SUFFICIENT</x:v>
      </x:c>
    </x:row>
    <x:row r="102">
      <x:c r="A102" t="str">
        <x:v>PLT-07</x:v>
      </x:c>
      <x:c r="B102" t="str">
        <x:v>Winnipeg</x:v>
      </x:c>
      <x:c r="C102" t="n">
        <x:v>46023</x:v>
      </x:c>
      <x:c r="D102" t="str">
        <x:v>SKU-003</x:v>
      </x:c>
      <x:c r="E102" t="str">
        <x:v>Advanced Packaging</x:v>
      </x:c>
      <x:c r="F102" t="n">
        <x:v>510</x:v>
      </x:c>
      <x:c r="G102" t="n">
        <x:v>147</x:v>
      </x:c>
      <x:c r="H102" t="n">
        <x:v>9</x:v>
      </x:c>
      <x:c r="I102" t="n">
        <x:v>86</x:v>
      </x:c>
      <x:c r="J102" t="n">
        <x:f>ROUNDUP(G102/30*H102+I102,0)</x:f>
        <x:v>131</x:v>
      </x:c>
      <x:c r="K102" t="str">
        <x:f>IF(F102&lt;J102,"REORDER","SUFFICIENT")</x:f>
        <x:v>SUFFICIENT</x:v>
      </x:c>
    </x:row>
    <x:row r="103">
      <x:c r="A103" t="str">
        <x:v>PLT-07</x:v>
      </x:c>
      <x:c r="B103" t="str">
        <x:v>Winnipeg</x:v>
      </x:c>
      <x:c r="C103" t="n">
        <x:v>46023</x:v>
      </x:c>
      <x:c r="D103" t="str">
        <x:v>SKU-004</x:v>
      </x:c>
      <x:c r="E103" t="str">
        <x:v>Field Services</x:v>
      </x:c>
      <x:c r="F103" t="n">
        <x:v>476</x:v>
      </x:c>
      <x:c r="G103" t="n">
        <x:v>141</x:v>
      </x:c>
      <x:c r="H103" t="n">
        <x:v>3</x:v>
      </x:c>
      <x:c r="I103" t="n">
        <x:v>91</x:v>
      </x:c>
      <x:c r="J103" t="n">
        <x:f>ROUNDUP(G103/30*H103+I103,0)</x:f>
        <x:v>106</x:v>
      </x:c>
      <x:c r="K103" t="str">
        <x:f>IF(F103&lt;J103,"REORDER","SUFFICIENT")</x:f>
        <x:v>SUFFICIENT</x:v>
      </x:c>
    </x:row>
    <x:row r="104">
      <x:c r="A104" t="str">
        <x:v>PLT-07</x:v>
      </x:c>
      <x:c r="B104" t="str">
        <x:v>Winnipeg</x:v>
      </x:c>
      <x:c r="C104" t="n">
        <x:v>46054</x:v>
      </x:c>
      <x:c r="D104" t="str">
        <x:v>SKU-001</x:v>
      </x:c>
      <x:c r="E104" t="str">
        <x:v>Precision Assembly</x:v>
      </x:c>
      <x:c r="F104" t="n">
        <x:v>578</x:v>
      </x:c>
      <x:c r="G104" t="n">
        <x:v>127</x:v>
      </x:c>
      <x:c r="H104" t="n">
        <x:v>15</x:v>
      </x:c>
      <x:c r="I104" t="n">
        <x:v>118</x:v>
      </x:c>
      <x:c r="J104" t="n">
        <x:f>ROUNDUP(G104/30*H104+I104,0)</x:f>
        <x:v>182</x:v>
      </x:c>
      <x:c r="K104" t="str">
        <x:f>IF(F104&lt;J104,"REORDER","SUFFICIENT")</x:f>
        <x:v>SUFFICIENT</x:v>
      </x:c>
    </x:row>
    <x:row r="105">
      <x:c r="A105" t="str">
        <x:v>PLT-07</x:v>
      </x:c>
      <x:c r="B105" t="str">
        <x:v>Winnipeg</x:v>
      </x:c>
      <x:c r="C105" t="n">
        <x:v>46054</x:v>
      </x:c>
      <x:c r="D105" t="str">
        <x:v>SKU-002</x:v>
      </x:c>
      <x:c r="E105" t="str">
        <x:v>Industrial Components</x:v>
      </x:c>
      <x:c r="F105" t="n">
        <x:v>334</x:v>
      </x:c>
      <x:c r="G105" t="n">
        <x:v>280</x:v>
      </x:c>
      <x:c r="H105" t="n">
        <x:v>18</x:v>
      </x:c>
      <x:c r="I105" t="n">
        <x:v>132</x:v>
      </x:c>
      <x:c r="J105" t="n">
        <x:f>ROUNDUP(G105/30*H105+I105,0)</x:f>
        <x:v>300</x:v>
      </x:c>
      <x:c r="K105" t="str">
        <x:f>IF(F105&lt;J105,"REORDER","SUFFICIENT")</x:f>
        <x:v>SUFFICIENT</x:v>
      </x:c>
    </x:row>
    <x:row r="106">
      <x:c r="A106" t="str">
        <x:v>PLT-07</x:v>
      </x:c>
      <x:c r="B106" t="str">
        <x:v>Winnipeg</x:v>
      </x:c>
      <x:c r="C106" t="n">
        <x:v>46054</x:v>
      </x:c>
      <x:c r="D106" t="str">
        <x:v>SKU-003</x:v>
      </x:c>
      <x:c r="E106" t="str">
        <x:v>Advanced Packaging</x:v>
      </x:c>
      <x:c r="F106" t="n">
        <x:v>426</x:v>
      </x:c>
      <x:c r="G106" t="n">
        <x:v>222</x:v>
      </x:c>
      <x:c r="H106" t="n">
        <x:v>11</x:v>
      </x:c>
      <x:c r="I106" t="n">
        <x:v>133</x:v>
      </x:c>
      <x:c r="J106" t="n">
        <x:f>ROUNDUP(G106/30*H106+I106,0)</x:f>
        <x:v>215</x:v>
      </x:c>
      <x:c r="K106" t="str">
        <x:f>IF(F106&lt;J106,"REORDER","SUFFICIENT")</x:f>
        <x:v>SUFFICIENT</x:v>
      </x:c>
    </x:row>
    <x:row r="107">
      <x:c r="A107" t="str">
        <x:v>PLT-07</x:v>
      </x:c>
      <x:c r="B107" t="str">
        <x:v>Winnipeg</x:v>
      </x:c>
      <x:c r="C107" t="n">
        <x:v>46054</x:v>
      </x:c>
      <x:c r="D107" t="str">
        <x:v>SKU-004</x:v>
      </x:c>
      <x:c r="E107" t="str">
        <x:v>Field Services</x:v>
      </x:c>
      <x:c r="F107" t="n">
        <x:v>254</x:v>
      </x:c>
      <x:c r="G107" t="n">
        <x:v>227</x:v>
      </x:c>
      <x:c r="H107" t="n">
        <x:v>27</x:v>
      </x:c>
      <x:c r="I107" t="n">
        <x:v>150</x:v>
      </x:c>
      <x:c r="J107" t="n">
        <x:f>ROUNDUP(G107/30*H107+I107,0)</x:f>
        <x:v>355</x:v>
      </x:c>
      <x:c r="K107" t="str">
        <x:f>IF(F107&lt;J107,"REORDER","SUFFICIENT")</x:f>
        <x:v>REORDER</x:v>
      </x:c>
    </x:row>
    <x:row r="108">
      <x:c r="A108" t="str">
        <x:v>PLT-07</x:v>
      </x:c>
      <x:c r="B108" t="str">
        <x:v>Winnipeg</x:v>
      </x:c>
      <x:c r="C108" t="n">
        <x:v>46082</x:v>
      </x:c>
      <x:c r="D108" t="str">
        <x:v>SKU-001</x:v>
      </x:c>
      <x:c r="E108" t="str">
        <x:v>Precision Assembly</x:v>
      </x:c>
      <x:c r="F108" t="n">
        <x:v>294</x:v>
      </x:c>
      <x:c r="G108" t="n">
        <x:v>297</x:v>
      </x:c>
      <x:c r="H108" t="n">
        <x:v>4</x:v>
      </x:c>
      <x:c r="I108" t="n">
        <x:v>127</x:v>
      </x:c>
      <x:c r="J108" t="n">
        <x:f>ROUNDUP(G108/30*H108+I108,0)</x:f>
        <x:v>167</x:v>
      </x:c>
      <x:c r="K108" t="str">
        <x:f>IF(F108&lt;J108,"REORDER","SUFFICIENT")</x:f>
        <x:v>SUFFICIENT</x:v>
      </x:c>
    </x:row>
    <x:row r="109">
      <x:c r="A109" t="str">
        <x:v>PLT-07</x:v>
      </x:c>
      <x:c r="B109" t="str">
        <x:v>Winnipeg</x:v>
      </x:c>
      <x:c r="C109" t="n">
        <x:v>46082</x:v>
      </x:c>
      <x:c r="D109" t="str">
        <x:v>SKU-002</x:v>
      </x:c>
      <x:c r="E109" t="str">
        <x:v>Industrial Components</x:v>
      </x:c>
      <x:c r="F109" t="n">
        <x:v>492</x:v>
      </x:c>
      <x:c r="G109" t="n">
        <x:v>97</x:v>
      </x:c>
      <x:c r="H109" t="n">
        <x:v>28</x:v>
      </x:c>
      <x:c r="I109" t="n">
        <x:v>157</x:v>
      </x:c>
      <x:c r="J109" t="n">
        <x:f>ROUNDUP(G109/30*H109+I109,0)</x:f>
        <x:v>248</x:v>
      </x:c>
      <x:c r="K109" t="str">
        <x:f>IF(F109&lt;J109,"REORDER","SUFFICIENT")</x:f>
        <x:v>SUFFICIENT</x:v>
      </x:c>
    </x:row>
    <x:row r="110">
      <x:c r="A110" t="str">
        <x:v>PLT-07</x:v>
      </x:c>
      <x:c r="B110" t="str">
        <x:v>Winnipeg</x:v>
      </x:c>
      <x:c r="C110" t="n">
        <x:v>46082</x:v>
      </x:c>
      <x:c r="D110" t="str">
        <x:v>SKU-003</x:v>
      </x:c>
      <x:c r="E110" t="str">
        <x:v>Advanced Packaging</x:v>
      </x:c>
      <x:c r="F110" t="n">
        <x:v>466</x:v>
      </x:c>
      <x:c r="G110" t="n">
        <x:v>220</x:v>
      </x:c>
      <x:c r="H110" t="n">
        <x:v>9</x:v>
      </x:c>
      <x:c r="I110" t="n">
        <x:v>89</x:v>
      </x:c>
      <x:c r="J110" t="n">
        <x:f>ROUNDUP(G110/30*H110+I110,0)</x:f>
        <x:v>155</x:v>
      </x:c>
      <x:c r="K110" t="str">
        <x:f>IF(F110&lt;J110,"REORDER","SUFFICIENT")</x:f>
        <x:v>SUFFICIENT</x:v>
      </x:c>
    </x:row>
    <x:row r="111">
      <x:c r="A111" t="str">
        <x:v>PLT-07</x:v>
      </x:c>
      <x:c r="B111" t="str">
        <x:v>Winnipeg</x:v>
      </x:c>
      <x:c r="C111" t="n">
        <x:v>46082</x:v>
      </x:c>
      <x:c r="D111" t="str">
        <x:v>SKU-004</x:v>
      </x:c>
      <x:c r="E111" t="str">
        <x:v>Field Services</x:v>
      </x:c>
      <x:c r="F111" t="n">
        <x:v>555</x:v>
      </x:c>
      <x:c r="G111" t="n">
        <x:v>92</x:v>
      </x:c>
      <x:c r="H111" t="n">
        <x:v>8</x:v>
      </x:c>
      <x:c r="I111" t="n">
        <x:v>146</x:v>
      </x:c>
      <x:c r="J111" t="n">
        <x:f>ROUNDUP(G111/30*H111+I111,0)</x:f>
        <x:v>171</x:v>
      </x:c>
      <x:c r="K111" t="str">
        <x:f>IF(F111&lt;J111,"REORDER","SUFFICIENT")</x:f>
        <x:v>SUFFICIENT</x:v>
      </x:c>
    </x:row>
    <x:row r="112">
      <x:c r="A112" t="str">
        <x:v>PLT-07</x:v>
      </x:c>
      <x:c r="B112" t="str">
        <x:v>Winnipeg</x:v>
      </x:c>
      <x:c r="C112" t="n">
        <x:v>46113</x:v>
      </x:c>
      <x:c r="D112" t="str">
        <x:v>SKU-001</x:v>
      </x:c>
      <x:c r="E112" t="str">
        <x:v>Precision Assembly</x:v>
      </x:c>
      <x:c r="F112" t="n">
        <x:v>455</x:v>
      </x:c>
      <x:c r="G112" t="n">
        <x:v>182</x:v>
      </x:c>
      <x:c r="H112" t="n">
        <x:v>15</x:v>
      </x:c>
      <x:c r="I112" t="n">
        <x:v>112</x:v>
      </x:c>
      <x:c r="J112" t="n">
        <x:f>ROUNDUP(G112/30*H112+I112,0)</x:f>
        <x:v>203</x:v>
      </x:c>
      <x:c r="K112" t="str">
        <x:f>IF(F112&lt;J112,"REORDER","SUFFICIENT")</x:f>
        <x:v>SUFFICIENT</x:v>
      </x:c>
    </x:row>
    <x:row r="113">
      <x:c r="A113" t="str">
        <x:v>PLT-07</x:v>
      </x:c>
      <x:c r="B113" t="str">
        <x:v>Winnipeg</x:v>
      </x:c>
      <x:c r="C113" t="n">
        <x:v>46113</x:v>
      </x:c>
      <x:c r="D113" t="str">
        <x:v>SKU-002</x:v>
      </x:c>
      <x:c r="E113" t="str">
        <x:v>Industrial Components</x:v>
      </x:c>
      <x:c r="F113" t="n">
        <x:v>76</x:v>
      </x:c>
      <x:c r="G113" t="n">
        <x:v>64</x:v>
      </x:c>
      <x:c r="H113" t="n">
        <x:v>17</x:v>
      </x:c>
      <x:c r="I113" t="n">
        <x:v>151</x:v>
      </x:c>
      <x:c r="J113" t="n">
        <x:f>ROUNDUP(G113/30*H113+I113,0)</x:f>
        <x:v>188</x:v>
      </x:c>
      <x:c r="K113" t="str">
        <x:f>IF(F113&lt;J113,"REORDER","SUFFICIENT")</x:f>
        <x:v>REORDER</x:v>
      </x:c>
    </x:row>
    <x:row r="114">
      <x:c r="A114" t="str">
        <x:v>PLT-07</x:v>
      </x:c>
      <x:c r="B114" t="str">
        <x:v>Winnipeg</x:v>
      </x:c>
      <x:c r="C114" t="n">
        <x:v>46113</x:v>
      </x:c>
      <x:c r="D114" t="str">
        <x:v>SKU-003</x:v>
      </x:c>
      <x:c r="E114" t="str">
        <x:v>Advanced Packaging</x:v>
      </x:c>
      <x:c r="F114" t="n">
        <x:v>158</x:v>
      </x:c>
      <x:c r="G114" t="n">
        <x:v>321</x:v>
      </x:c>
      <x:c r="H114" t="n">
        <x:v>8</x:v>
      </x:c>
      <x:c r="I114" t="n">
        <x:v>147</x:v>
      </x:c>
      <x:c r="J114" t="n">
        <x:f>ROUNDUP(G114/30*H114+I114,0)</x:f>
        <x:v>233</x:v>
      </x:c>
      <x:c r="K114" t="str">
        <x:f>IF(F114&lt;J114,"REORDER","SUFFICIENT")</x:f>
        <x:v>REORDER</x:v>
      </x:c>
    </x:row>
    <x:row r="115">
      <x:c r="A115" t="str">
        <x:v>PLT-07</x:v>
      </x:c>
      <x:c r="B115" t="str">
        <x:v>Winnipeg</x:v>
      </x:c>
      <x:c r="C115" t="n">
        <x:v>46113</x:v>
      </x:c>
      <x:c r="D115" t="str">
        <x:v>SKU-004</x:v>
      </x:c>
      <x:c r="E115" t="str">
        <x:v>Field Services</x:v>
      </x:c>
      <x:c r="F115" t="n">
        <x:v>351</x:v>
      </x:c>
      <x:c r="G115" t="n">
        <x:v>57</x:v>
      </x:c>
      <x:c r="H115" t="n">
        <x:v>14</x:v>
      </x:c>
      <x:c r="I115" t="n">
        <x:v>84</x:v>
      </x:c>
      <x:c r="J115" t="n">
        <x:f>ROUNDUP(G115/30*H115+I115,0)</x:f>
        <x:v>111</x:v>
      </x:c>
      <x:c r="K115" t="str">
        <x:f>IF(F115&lt;J115,"REORDER","SUFFICIENT")</x:f>
        <x:v>SUFFICIENT</x:v>
      </x:c>
    </x:row>
    <x:row r="116">
      <x:c r="A116" t="str">
        <x:v>PLT-08</x:v>
      </x:c>
      <x:c r="B116" t="str">
        <x:v>Calgary</x:v>
      </x:c>
      <x:c r="C116" t="n">
        <x:v>46023</x:v>
      </x:c>
      <x:c r="D116" t="str">
        <x:v>SKU-001</x:v>
      </x:c>
      <x:c r="E116" t="str">
        <x:v>Precision Assembly</x:v>
      </x:c>
      <x:c r="F116" t="n">
        <x:v>386</x:v>
      </x:c>
      <x:c r="G116" t="n">
        <x:v>64</x:v>
      </x:c>
      <x:c r="H116" t="n">
        <x:v>12</x:v>
      </x:c>
      <x:c r="I116" t="n">
        <x:v>101</x:v>
      </x:c>
      <x:c r="J116" t="n">
        <x:f>ROUNDUP(G116/30*H116+I116,0)</x:f>
        <x:v>127</x:v>
      </x:c>
      <x:c r="K116" t="str">
        <x:f>IF(F116&lt;J116,"REORDER","SUFFICIENT")</x:f>
        <x:v>SUFFICIENT</x:v>
      </x:c>
    </x:row>
    <x:row r="117">
      <x:c r="A117" t="str">
        <x:v>PLT-08</x:v>
      </x:c>
      <x:c r="B117" t="str">
        <x:v>Calgary</x:v>
      </x:c>
      <x:c r="C117" t="n">
        <x:v>46023</x:v>
      </x:c>
      <x:c r="D117" t="str">
        <x:v>SKU-002</x:v>
      </x:c>
      <x:c r="E117" t="str">
        <x:v>Industrial Components</x:v>
      </x:c>
      <x:c r="F117" t="n">
        <x:v>387</x:v>
      </x:c>
      <x:c r="G117" t="n">
        <x:v>152</x:v>
      </x:c>
      <x:c r="H117" t="n">
        <x:v>27</x:v>
      </x:c>
      <x:c r="I117" t="n">
        <x:v>88</x:v>
      </x:c>
      <x:c r="J117" t="n">
        <x:f>ROUNDUP(G117/30*H117+I117,0)</x:f>
        <x:v>225</x:v>
      </x:c>
      <x:c r="K117" t="str">
        <x:f>IF(F117&lt;J117,"REORDER","SUFFICIENT")</x:f>
        <x:v>SUFFICIENT</x:v>
      </x:c>
    </x:row>
    <x:row r="118">
      <x:c r="A118" t="str">
        <x:v>PLT-08</x:v>
      </x:c>
      <x:c r="B118" t="str">
        <x:v>Calgary</x:v>
      </x:c>
      <x:c r="C118" t="n">
        <x:v>46023</x:v>
      </x:c>
      <x:c r="D118" t="str">
        <x:v>SKU-003</x:v>
      </x:c>
      <x:c r="E118" t="str">
        <x:v>Advanced Packaging</x:v>
      </x:c>
      <x:c r="F118" t="n">
        <x:v>466</x:v>
      </x:c>
      <x:c r="G118" t="n">
        <x:v>122</x:v>
      </x:c>
      <x:c r="H118" t="n">
        <x:v>20</x:v>
      </x:c>
      <x:c r="I118" t="n">
        <x:v>144</x:v>
      </x:c>
      <x:c r="J118" t="n">
        <x:f>ROUNDUP(G118/30*H118+I118,0)</x:f>
        <x:v>226</x:v>
      </x:c>
      <x:c r="K118" t="str">
        <x:f>IF(F118&lt;J118,"REORDER","SUFFICIENT")</x:f>
        <x:v>SUFFICIENT</x:v>
      </x:c>
    </x:row>
    <x:row r="119">
      <x:c r="A119" t="str">
        <x:v>PLT-08</x:v>
      </x:c>
      <x:c r="B119" t="str">
        <x:v>Calgary</x:v>
      </x:c>
      <x:c r="C119" t="n">
        <x:v>46023</x:v>
      </x:c>
      <x:c r="D119" t="str">
        <x:v>SKU-004</x:v>
      </x:c>
      <x:c r="E119" t="str">
        <x:v>Field Services</x:v>
      </x:c>
      <x:c r="F119" t="n">
        <x:v>210</x:v>
      </x:c>
      <x:c r="G119" t="n">
        <x:v>161</x:v>
      </x:c>
      <x:c r="H119" t="n">
        <x:v>16</x:v>
      </x:c>
      <x:c r="I119" t="n">
        <x:v>70</x:v>
      </x:c>
      <x:c r="J119" t="n">
        <x:f>ROUNDUP(G119/30*H119+I119,0)</x:f>
        <x:v>156</x:v>
      </x:c>
      <x:c r="K119" t="str">
        <x:f>IF(F119&lt;J119,"REORDER","SUFFICIENT")</x:f>
        <x:v>SUFFICIENT</x:v>
      </x:c>
    </x:row>
    <x:row r="120">
      <x:c r="A120" t="str">
        <x:v>PLT-08</x:v>
      </x:c>
      <x:c r="B120" t="str">
        <x:v>Calgary</x:v>
      </x:c>
      <x:c r="C120" t="n">
        <x:v>46054</x:v>
      </x:c>
      <x:c r="D120" t="str">
        <x:v>SKU-001</x:v>
      </x:c>
      <x:c r="E120" t="str">
        <x:v>Precision Assembly</x:v>
      </x:c>
      <x:c r="F120" t="n">
        <x:v>266</x:v>
      </x:c>
      <x:c r="G120" t="n">
        <x:v>313</x:v>
      </x:c>
      <x:c r="H120" t="n">
        <x:v>4</x:v>
      </x:c>
      <x:c r="I120" t="n">
        <x:v>109</x:v>
      </x:c>
      <x:c r="J120" t="n">
        <x:f>ROUNDUP(G120/30*H120+I120,0)</x:f>
        <x:v>151</x:v>
      </x:c>
      <x:c r="K120" t="str">
        <x:f>IF(F120&lt;J120,"REORDER","SUFFICIENT")</x:f>
        <x:v>SUFFICIENT</x:v>
      </x:c>
    </x:row>
    <x:row r="121">
      <x:c r="A121" t="str">
        <x:v>PLT-08</x:v>
      </x:c>
      <x:c r="B121" t="str">
        <x:v>Calgary</x:v>
      </x:c>
      <x:c r="C121" t="n">
        <x:v>46054</x:v>
      </x:c>
      <x:c r="D121" t="str">
        <x:v>SKU-002</x:v>
      </x:c>
      <x:c r="E121" t="str">
        <x:v>Industrial Components</x:v>
      </x:c>
      <x:c r="F121" t="n">
        <x:v>479</x:v>
      </x:c>
      <x:c r="G121" t="n">
        <x:v>127</x:v>
      </x:c>
      <x:c r="H121" t="n">
        <x:v>18</x:v>
      </x:c>
      <x:c r="I121" t="n">
        <x:v>175</x:v>
      </x:c>
      <x:c r="J121" t="n">
        <x:f>ROUNDUP(G121/30*H121+I121,0)</x:f>
        <x:v>252</x:v>
      </x:c>
      <x:c r="K121" t="str">
        <x:f>IF(F121&lt;J121,"REORDER","SUFFICIENT")</x:f>
        <x:v>SUFFICIENT</x:v>
      </x:c>
    </x:row>
    <x:row r="122">
      <x:c r="A122" t="str">
        <x:v>PLT-08</x:v>
      </x:c>
      <x:c r="B122" t="str">
        <x:v>Calgary</x:v>
      </x:c>
      <x:c r="C122" t="n">
        <x:v>46054</x:v>
      </x:c>
      <x:c r="D122" t="str">
        <x:v>SKU-003</x:v>
      </x:c>
      <x:c r="E122" t="str">
        <x:v>Advanced Packaging</x:v>
      </x:c>
      <x:c r="F122" t="n">
        <x:v>511</x:v>
      </x:c>
      <x:c r="G122" t="n">
        <x:v>226</x:v>
      </x:c>
      <x:c r="H122" t="n">
        <x:v>25</x:v>
      </x:c>
      <x:c r="I122" t="n">
        <x:v>125</x:v>
      </x:c>
      <x:c r="J122" t="n">
        <x:f>ROUNDUP(G122/30*H122+I122,0)</x:f>
        <x:v>314</x:v>
      </x:c>
      <x:c r="K122" t="str">
        <x:f>IF(F122&lt;J122,"REORDER","SUFFICIENT")</x:f>
        <x:v>SUFFICIENT</x:v>
      </x:c>
    </x:row>
    <x:row r="123">
      <x:c r="A123" t="str">
        <x:v>PLT-08</x:v>
      </x:c>
      <x:c r="B123" t="str">
        <x:v>Calgary</x:v>
      </x:c>
      <x:c r="C123" t="n">
        <x:v>46054</x:v>
      </x:c>
      <x:c r="D123" t="str">
        <x:v>SKU-004</x:v>
      </x:c>
      <x:c r="E123" t="str">
        <x:v>Field Services</x:v>
      </x:c>
      <x:c r="F123" t="n">
        <x:v>590</x:v>
      </x:c>
      <x:c r="G123" t="n">
        <x:v>78</x:v>
      </x:c>
      <x:c r="H123" t="n">
        <x:v>8</x:v>
      </x:c>
      <x:c r="I123" t="n">
        <x:v>101</x:v>
      </x:c>
      <x:c r="J123" t="n">
        <x:f>ROUNDUP(G123/30*H123+I123,0)</x:f>
        <x:v>122</x:v>
      </x:c>
      <x:c r="K123" t="str">
        <x:f>IF(F123&lt;J123,"REORDER","SUFFICIENT")</x:f>
        <x:v>SUFFICIENT</x:v>
      </x:c>
    </x:row>
    <x:row r="124">
      <x:c r="A124" t="str">
        <x:v>PLT-08</x:v>
      </x:c>
      <x:c r="B124" t="str">
        <x:v>Calgary</x:v>
      </x:c>
      <x:c r="C124" t="n">
        <x:v>46082</x:v>
      </x:c>
      <x:c r="D124" t="str">
        <x:v>SKU-001</x:v>
      </x:c>
      <x:c r="E124" t="str">
        <x:v>Precision Assembly</x:v>
      </x:c>
      <x:c r="F124" t="n">
        <x:v>630</x:v>
      </x:c>
      <x:c r="G124" t="n">
        <x:v>302</x:v>
      </x:c>
      <x:c r="H124" t="n">
        <x:v>9</x:v>
      </x:c>
      <x:c r="I124" t="n">
        <x:v>172</x:v>
      </x:c>
      <x:c r="J124" t="n">
        <x:f>ROUNDUP(G124/30*H124+I124,0)</x:f>
        <x:v>263</x:v>
      </x:c>
      <x:c r="K124" t="str">
        <x:f>IF(F124&lt;J124,"REORDER","SUFFICIENT")</x:f>
        <x:v>SUFFICIENT</x:v>
      </x:c>
    </x:row>
    <x:row r="125">
      <x:c r="A125" t="str">
        <x:v>PLT-08</x:v>
      </x:c>
      <x:c r="B125" t="str">
        <x:v>Calgary</x:v>
      </x:c>
      <x:c r="C125" t="n">
        <x:v>46082</x:v>
      </x:c>
      <x:c r="D125" t="str">
        <x:v>SKU-002</x:v>
      </x:c>
      <x:c r="E125" t="str">
        <x:v>Industrial Components</x:v>
      </x:c>
      <x:c r="F125" t="n">
        <x:v>349</x:v>
      </x:c>
      <x:c r="G125" t="n">
        <x:v>90</x:v>
      </x:c>
      <x:c r="H125" t="n">
        <x:v>26</x:v>
      </x:c>
      <x:c r="I125" t="n">
        <x:v>69</x:v>
      </x:c>
      <x:c r="J125" t="n">
        <x:f>ROUNDUP(G125/30*H125+I125,0)</x:f>
        <x:v>147</x:v>
      </x:c>
      <x:c r="K125" t="str">
        <x:f>IF(F125&lt;J125,"REORDER","SUFFICIENT")</x:f>
        <x:v>SUFFICIENT</x:v>
      </x:c>
    </x:row>
    <x:row r="126">
      <x:c r="A126" t="str">
        <x:v>PLT-08</x:v>
      </x:c>
      <x:c r="B126" t="str">
        <x:v>Calgary</x:v>
      </x:c>
      <x:c r="C126" t="n">
        <x:v>46082</x:v>
      </x:c>
      <x:c r="D126" t="str">
        <x:v>SKU-003</x:v>
      </x:c>
      <x:c r="E126" t="str">
        <x:v>Advanced Packaging</x:v>
      </x:c>
      <x:c r="F126" t="n">
        <x:v>519</x:v>
      </x:c>
      <x:c r="G126" t="n">
        <x:v>92</x:v>
      </x:c>
      <x:c r="H126" t="n">
        <x:v>13</x:v>
      </x:c>
      <x:c r="I126" t="n">
        <x:v>160</x:v>
      </x:c>
      <x:c r="J126" t="n">
        <x:f>ROUNDUP(G126/30*H126+I126,0)</x:f>
        <x:v>200</x:v>
      </x:c>
      <x:c r="K126" t="str">
        <x:f>IF(F126&lt;J126,"REORDER","SUFFICIENT")</x:f>
        <x:v>SUFFICIENT</x:v>
      </x:c>
    </x:row>
    <x:row r="127">
      <x:c r="A127" t="str">
        <x:v>PLT-08</x:v>
      </x:c>
      <x:c r="B127" t="str">
        <x:v>Calgary</x:v>
      </x:c>
      <x:c r="C127" t="n">
        <x:v>46082</x:v>
      </x:c>
      <x:c r="D127" t="str">
        <x:v>SKU-004</x:v>
      </x:c>
      <x:c r="E127" t="str">
        <x:v>Field Services</x:v>
      </x:c>
      <x:c r="F127" t="n">
        <x:v>256</x:v>
      </x:c>
      <x:c r="G127" t="n">
        <x:v>146</x:v>
      </x:c>
      <x:c r="H127" t="n">
        <x:v>13</x:v>
      </x:c>
      <x:c r="I127" t="n">
        <x:v>135</x:v>
      </x:c>
      <x:c r="J127" t="n">
        <x:f>ROUNDUP(G127/30*H127+I127,0)</x:f>
        <x:v>199</x:v>
      </x:c>
      <x:c r="K127" t="str">
        <x:f>IF(F127&lt;J127,"REORDER","SUFFICIENT")</x:f>
        <x:v>SUFFICIENT</x:v>
      </x:c>
    </x:row>
    <x:row r="128">
      <x:c r="A128" t="str">
        <x:v>PLT-08</x:v>
      </x:c>
      <x:c r="B128" t="str">
        <x:v>Calgary</x:v>
      </x:c>
      <x:c r="C128" t="n">
        <x:v>46113</x:v>
      </x:c>
      <x:c r="D128" t="str">
        <x:v>SKU-001</x:v>
      </x:c>
      <x:c r="E128" t="str">
        <x:v>Precision Assembly</x:v>
      </x:c>
      <x:c r="F128" t="n">
        <x:v>193</x:v>
      </x:c>
      <x:c r="G128" t="n">
        <x:v>127</x:v>
      </x:c>
      <x:c r="H128" t="n">
        <x:v>11</x:v>
      </x:c>
      <x:c r="I128" t="n">
        <x:v>137</x:v>
      </x:c>
      <x:c r="J128" t="n">
        <x:f>ROUNDUP(G128/30*H128+I128,0)</x:f>
        <x:v>184</x:v>
      </x:c>
      <x:c r="K128" t="str">
        <x:f>IF(F128&lt;J128,"REORDER","SUFFICIENT")</x:f>
        <x:v>SUFFICIENT</x:v>
      </x:c>
    </x:row>
    <x:row r="129">
      <x:c r="A129" t="str">
        <x:v>PLT-08</x:v>
      </x:c>
      <x:c r="B129" t="str">
        <x:v>Calgary</x:v>
      </x:c>
      <x:c r="C129" t="n">
        <x:v>46113</x:v>
      </x:c>
      <x:c r="D129" t="str">
        <x:v>SKU-002</x:v>
      </x:c>
      <x:c r="E129" t="str">
        <x:v>Industrial Components</x:v>
      </x:c>
      <x:c r="F129" t="n">
        <x:v>87</x:v>
      </x:c>
      <x:c r="G129" t="n">
        <x:v>250</x:v>
      </x:c>
      <x:c r="H129" t="n">
        <x:v>27</x:v>
      </x:c>
      <x:c r="I129" t="n">
        <x:v>99</x:v>
      </x:c>
      <x:c r="J129" t="n">
        <x:f>ROUNDUP(G129/30*H129+I129,0)</x:f>
        <x:v>324</x:v>
      </x:c>
      <x:c r="K129" t="str">
        <x:f>IF(F129&lt;J129,"REORDER","SUFFICIENT")</x:f>
        <x:v>REORDER</x:v>
      </x:c>
    </x:row>
    <x:row r="130">
      <x:c r="A130" t="str">
        <x:v>PLT-08</x:v>
      </x:c>
      <x:c r="B130" t="str">
        <x:v>Calgary</x:v>
      </x:c>
      <x:c r="C130" t="n">
        <x:v>46113</x:v>
      </x:c>
      <x:c r="D130" t="str">
        <x:v>SKU-003</x:v>
      </x:c>
      <x:c r="E130" t="str">
        <x:v>Advanced Packaging</x:v>
      </x:c>
      <x:c r="F130" t="n">
        <x:v>147</x:v>
      </x:c>
      <x:c r="G130" t="n">
        <x:v>49</x:v>
      </x:c>
      <x:c r="H130" t="n">
        <x:v>8</x:v>
      </x:c>
      <x:c r="I130" t="n">
        <x:v>169</x:v>
      </x:c>
      <x:c r="J130" t="n">
        <x:f>ROUNDUP(G130/30*H130+I130,0)</x:f>
        <x:v>183</x:v>
      </x:c>
      <x:c r="K130" t="str">
        <x:f>IF(F130&lt;J130,"REORDER","SUFFICIENT")</x:f>
        <x:v>REORDER</x:v>
      </x:c>
    </x:row>
    <x:row r="131">
      <x:c r="A131" t="str">
        <x:v>PLT-08</x:v>
      </x:c>
      <x:c r="B131" t="str">
        <x:v>Calgary</x:v>
      </x:c>
      <x:c r="C131" t="n">
        <x:v>46113</x:v>
      </x:c>
      <x:c r="D131" t="str">
        <x:v>SKU-004</x:v>
      </x:c>
      <x:c r="E131" t="str">
        <x:v>Field Services</x:v>
      </x:c>
      <x:c r="F131" t="n">
        <x:v>184</x:v>
      </x:c>
      <x:c r="G131" t="n">
        <x:v>72</x:v>
      </x:c>
      <x:c r="H131" t="n">
        <x:v>27</x:v>
      </x:c>
      <x:c r="I131" t="n">
        <x:v>66</x:v>
      </x:c>
      <x:c r="J131" t="n">
        <x:f>ROUNDUP(G131/30*H131+I131,0)</x:f>
        <x:v>131</x:v>
      </x:c>
      <x:c r="K131" t="str">
        <x:f>IF(F131&lt;J131,"REORDER","SUFFICIENT")</x:f>
        <x:v>SUFFICIENT</x:v>
      </x:c>
    </x:row>
    <x:row r="132">
      <x:c r="A132" t="str">
        <x:v>PLT-09</x:v>
      </x:c>
      <x:c r="B132" t="str">
        <x:v>Edmonton</x:v>
      </x:c>
      <x:c r="C132" t="n">
        <x:v>46023</x:v>
      </x:c>
      <x:c r="D132" t="str">
        <x:v>SKU-001</x:v>
      </x:c>
      <x:c r="E132" t="str">
        <x:v>Precision Assembly</x:v>
      </x:c>
      <x:c r="F132" t="n">
        <x:v>312</x:v>
      </x:c>
      <x:c r="G132" t="n">
        <x:v>325</x:v>
      </x:c>
      <x:c r="H132" t="n">
        <x:v>23</x:v>
      </x:c>
      <x:c r="I132" t="n">
        <x:v>80</x:v>
      </x:c>
      <x:c r="J132" t="n">
        <x:f>ROUNDUP(G132/30*H132+I132,0)</x:f>
        <x:v>330</x:v>
      </x:c>
      <x:c r="K132" t="str">
        <x:f>IF(F132&lt;J132,"REORDER","SUFFICIENT")</x:f>
        <x:v>REORDER</x:v>
      </x:c>
    </x:row>
    <x:row r="133">
      <x:c r="A133" t="str">
        <x:v>PLT-09</x:v>
      </x:c>
      <x:c r="B133" t="str">
        <x:v>Edmonton</x:v>
      </x:c>
      <x:c r="C133" t="n">
        <x:v>46023</x:v>
      </x:c>
      <x:c r="D133" t="str">
        <x:v>SKU-002</x:v>
      </x:c>
      <x:c r="E133" t="str">
        <x:v>Industrial Components</x:v>
      </x:c>
      <x:c r="F133" t="n">
        <x:v>97</x:v>
      </x:c>
      <x:c r="G133" t="n">
        <x:v>81</x:v>
      </x:c>
      <x:c r="H133" t="n">
        <x:v>10</x:v>
      </x:c>
      <x:c r="I133" t="n">
        <x:v>120</x:v>
      </x:c>
      <x:c r="J133" t="n">
        <x:f>ROUNDUP(G133/30*H133+I133,0)</x:f>
        <x:v>147</x:v>
      </x:c>
      <x:c r="K133" t="str">
        <x:f>IF(F133&lt;J133,"REORDER","SUFFICIENT")</x:f>
        <x:v>REORDER</x:v>
      </x:c>
    </x:row>
    <x:row r="134">
      <x:c r="A134" t="str">
        <x:v>PLT-09</x:v>
      </x:c>
      <x:c r="B134" t="str">
        <x:v>Edmonton</x:v>
      </x:c>
      <x:c r="C134" t="n">
        <x:v>46023</x:v>
      </x:c>
      <x:c r="D134" t="str">
        <x:v>SKU-003</x:v>
      </x:c>
      <x:c r="E134" t="str">
        <x:v>Advanced Packaging</x:v>
      </x:c>
      <x:c r="F134" t="n">
        <x:v>111</x:v>
      </x:c>
      <x:c r="G134" t="n">
        <x:v>62</x:v>
      </x:c>
      <x:c r="H134" t="n">
        <x:v>26</x:v>
      </x:c>
      <x:c r="I134" t="n">
        <x:v>171</x:v>
      </x:c>
      <x:c r="J134" t="n">
        <x:f>ROUNDUP(G134/30*H134+I134,0)</x:f>
        <x:v>225</x:v>
      </x:c>
      <x:c r="K134" t="str">
        <x:f>IF(F134&lt;J134,"REORDER","SUFFICIENT")</x:f>
        <x:v>REORDER</x:v>
      </x:c>
    </x:row>
    <x:row r="135">
      <x:c r="A135" t="str">
        <x:v>PLT-09</x:v>
      </x:c>
      <x:c r="B135" t="str">
        <x:v>Edmonton</x:v>
      </x:c>
      <x:c r="C135" t="n">
        <x:v>46023</x:v>
      </x:c>
      <x:c r="D135" t="str">
        <x:v>SKU-004</x:v>
      </x:c>
      <x:c r="E135" t="str">
        <x:v>Field Services</x:v>
      </x:c>
      <x:c r="F135" t="n">
        <x:v>596</x:v>
      </x:c>
      <x:c r="G135" t="n">
        <x:v>90</x:v>
      </x:c>
      <x:c r="H135" t="n">
        <x:v>5</x:v>
      </x:c>
      <x:c r="I135" t="n">
        <x:v>173</x:v>
      </x:c>
      <x:c r="J135" t="n">
        <x:f>ROUNDUP(G135/30*H135+I135,0)</x:f>
        <x:v>188</x:v>
      </x:c>
      <x:c r="K135" t="str">
        <x:f>IF(F135&lt;J135,"REORDER","SUFFICIENT")</x:f>
        <x:v>SUFFICIENT</x:v>
      </x:c>
    </x:row>
    <x:row r="136">
      <x:c r="A136" t="str">
        <x:v>PLT-09</x:v>
      </x:c>
      <x:c r="B136" t="str">
        <x:v>Edmonton</x:v>
      </x:c>
      <x:c r="C136" t="n">
        <x:v>46054</x:v>
      </x:c>
      <x:c r="D136" t="str">
        <x:v>SKU-001</x:v>
      </x:c>
      <x:c r="E136" t="str">
        <x:v>Precision Assembly</x:v>
      </x:c>
      <x:c r="F136" t="n">
        <x:v>143</x:v>
      </x:c>
      <x:c r="G136" t="n">
        <x:v>140</x:v>
      </x:c>
      <x:c r="H136" t="n">
        <x:v>6</x:v>
      </x:c>
      <x:c r="I136" t="n">
        <x:v>87</x:v>
      </x:c>
      <x:c r="J136" t="n">
        <x:f>ROUNDUP(G136/30*H136+I136,0)</x:f>
        <x:v>115</x:v>
      </x:c>
      <x:c r="K136" t="str">
        <x:f>IF(F136&lt;J136,"REORDER","SUFFICIENT")</x:f>
        <x:v>SUFFICIENT</x:v>
      </x:c>
    </x:row>
    <x:row r="137">
      <x:c r="A137" t="str">
        <x:v>PLT-09</x:v>
      </x:c>
      <x:c r="B137" t="str">
        <x:v>Edmonton</x:v>
      </x:c>
      <x:c r="C137" t="n">
        <x:v>46054</x:v>
      </x:c>
      <x:c r="D137" t="str">
        <x:v>SKU-002</x:v>
      </x:c>
      <x:c r="E137" t="str">
        <x:v>Industrial Components</x:v>
      </x:c>
      <x:c r="F137" t="n">
        <x:v>676</x:v>
      </x:c>
      <x:c r="G137" t="n">
        <x:v>109</x:v>
      </x:c>
      <x:c r="H137" t="n">
        <x:v>6</x:v>
      </x:c>
      <x:c r="I137" t="n">
        <x:v>156</x:v>
      </x:c>
      <x:c r="J137" t="n">
        <x:f>ROUNDUP(G137/30*H137+I137,0)</x:f>
        <x:v>178</x:v>
      </x:c>
      <x:c r="K137" t="str">
        <x:f>IF(F137&lt;J137,"REORDER","SUFFICIENT")</x:f>
        <x:v>SUFFICIENT</x:v>
      </x:c>
    </x:row>
    <x:row r="138">
      <x:c r="A138" t="str">
        <x:v>PLT-09</x:v>
      </x:c>
      <x:c r="B138" t="str">
        <x:v>Edmonton</x:v>
      </x:c>
      <x:c r="C138" t="n">
        <x:v>46054</x:v>
      </x:c>
      <x:c r="D138" t="str">
        <x:v>SKU-003</x:v>
      </x:c>
      <x:c r="E138" t="str">
        <x:v>Advanced Packaging</x:v>
      </x:c>
      <x:c r="F138" t="n">
        <x:v>175</x:v>
      </x:c>
      <x:c r="G138" t="n">
        <x:v>276</x:v>
      </x:c>
      <x:c r="H138" t="n">
        <x:v>12</x:v>
      </x:c>
      <x:c r="I138" t="n">
        <x:v>114</x:v>
      </x:c>
      <x:c r="J138" t="n">
        <x:f>ROUNDUP(G138/30*H138+I138,0)</x:f>
        <x:v>225</x:v>
      </x:c>
      <x:c r="K138" t="str">
        <x:f>IF(F138&lt;J138,"REORDER","SUFFICIENT")</x:f>
        <x:v>REORDER</x:v>
      </x:c>
    </x:row>
    <x:row r="139">
      <x:c r="A139" t="str">
        <x:v>PLT-09</x:v>
      </x:c>
      <x:c r="B139" t="str">
        <x:v>Edmonton</x:v>
      </x:c>
      <x:c r="C139" t="n">
        <x:v>46054</x:v>
      </x:c>
      <x:c r="D139" t="str">
        <x:v>SKU-004</x:v>
      </x:c>
      <x:c r="E139" t="str">
        <x:v>Field Services</x:v>
      </x:c>
      <x:c r="F139" t="n">
        <x:v>308</x:v>
      </x:c>
      <x:c r="G139" t="n">
        <x:v>288</x:v>
      </x:c>
      <x:c r="H139" t="n">
        <x:v>17</x:v>
      </x:c>
      <x:c r="I139" t="n">
        <x:v>65</x:v>
      </x:c>
      <x:c r="J139" t="n">
        <x:f>ROUNDUP(G139/30*H139+I139,0)</x:f>
        <x:v>229</x:v>
      </x:c>
      <x:c r="K139" t="str">
        <x:f>IF(F139&lt;J139,"REORDER","SUFFICIENT")</x:f>
        <x:v>SUFFICIENT</x:v>
      </x:c>
    </x:row>
    <x:row r="140">
      <x:c r="A140" t="str">
        <x:v>PLT-09</x:v>
      </x:c>
      <x:c r="B140" t="str">
        <x:v>Edmonton</x:v>
      </x:c>
      <x:c r="C140" t="n">
        <x:v>46082</x:v>
      </x:c>
      <x:c r="D140" t="str">
        <x:v>SKU-001</x:v>
      </x:c>
      <x:c r="E140" t="str">
        <x:v>Precision Assembly</x:v>
      </x:c>
      <x:c r="F140" t="n">
        <x:v>587</x:v>
      </x:c>
      <x:c r="G140" t="n">
        <x:v>324</x:v>
      </x:c>
      <x:c r="H140" t="n">
        <x:v>25</x:v>
      </x:c>
      <x:c r="I140" t="n">
        <x:v>101</x:v>
      </x:c>
      <x:c r="J140" t="n">
        <x:f>ROUNDUP(G140/30*H140+I140,0)</x:f>
        <x:v>371</x:v>
      </x:c>
      <x:c r="K140" t="str">
        <x:f>IF(F140&lt;J140,"REORDER","SUFFICIENT")</x:f>
        <x:v>SUFFICIENT</x:v>
      </x:c>
    </x:row>
    <x:row r="141">
      <x:c r="A141" t="str">
        <x:v>PLT-09</x:v>
      </x:c>
      <x:c r="B141" t="str">
        <x:v>Edmonton</x:v>
      </x:c>
      <x:c r="C141" t="n">
        <x:v>46082</x:v>
      </x:c>
      <x:c r="D141" t="str">
        <x:v>SKU-002</x:v>
      </x:c>
      <x:c r="E141" t="str">
        <x:v>Industrial Components</x:v>
      </x:c>
      <x:c r="F141" t="n">
        <x:v>110</x:v>
      </x:c>
      <x:c r="G141" t="n">
        <x:v>124</x:v>
      </x:c>
      <x:c r="H141" t="n">
        <x:v>26</x:v>
      </x:c>
      <x:c r="I141" t="n">
        <x:v>127</x:v>
      </x:c>
      <x:c r="J141" t="n">
        <x:f>ROUNDUP(G141/30*H141+I141,0)</x:f>
        <x:v>235</x:v>
      </x:c>
      <x:c r="K141" t="str">
        <x:f>IF(F141&lt;J141,"REORDER","SUFFICIENT")</x:f>
        <x:v>REORDER</x:v>
      </x:c>
    </x:row>
    <x:row r="142">
      <x:c r="A142" t="str">
        <x:v>PLT-09</x:v>
      </x:c>
      <x:c r="B142" t="str">
        <x:v>Edmonton</x:v>
      </x:c>
      <x:c r="C142" t="n">
        <x:v>46082</x:v>
      </x:c>
      <x:c r="D142" t="str">
        <x:v>SKU-003</x:v>
      </x:c>
      <x:c r="E142" t="str">
        <x:v>Advanced Packaging</x:v>
      </x:c>
      <x:c r="F142" t="n">
        <x:v>538</x:v>
      </x:c>
      <x:c r="G142" t="n">
        <x:v>93</x:v>
      </x:c>
      <x:c r="H142" t="n">
        <x:v>12</x:v>
      </x:c>
      <x:c r="I142" t="n">
        <x:v>72</x:v>
      </x:c>
      <x:c r="J142" t="n">
        <x:f>ROUNDUP(G142/30*H142+I142,0)</x:f>
        <x:v>110</x:v>
      </x:c>
      <x:c r="K142" t="str">
        <x:f>IF(F142&lt;J142,"REORDER","SUFFICIENT")</x:f>
        <x:v>SUFFICIENT</x:v>
      </x:c>
    </x:row>
    <x:row r="143">
      <x:c r="A143" t="str">
        <x:v>PLT-09</x:v>
      </x:c>
      <x:c r="B143" t="str">
        <x:v>Edmonton</x:v>
      </x:c>
      <x:c r="C143" t="n">
        <x:v>46082</x:v>
      </x:c>
      <x:c r="D143" t="str">
        <x:v>SKU-004</x:v>
      </x:c>
      <x:c r="E143" t="str">
        <x:v>Field Services</x:v>
      </x:c>
      <x:c r="F143" t="n">
        <x:v>44</x:v>
      </x:c>
      <x:c r="G143" t="n">
        <x:v>164</x:v>
      </x:c>
      <x:c r="H143" t="n">
        <x:v>16</x:v>
      </x:c>
      <x:c r="I143" t="n">
        <x:v>178</x:v>
      </x:c>
      <x:c r="J143" t="n">
        <x:f>ROUNDUP(G143/30*H143+I143,0)</x:f>
        <x:v>266</x:v>
      </x:c>
      <x:c r="K143" t="str">
        <x:f>IF(F143&lt;J143,"REORDER","SUFFICIENT")</x:f>
        <x:v>REORDER</x:v>
      </x:c>
    </x:row>
    <x:row r="144">
      <x:c r="A144" t="str">
        <x:v>PLT-09</x:v>
      </x:c>
      <x:c r="B144" t="str">
        <x:v>Edmonton</x:v>
      </x:c>
      <x:c r="C144" t="n">
        <x:v>46113</x:v>
      </x:c>
      <x:c r="D144" t="str">
        <x:v>SKU-001</x:v>
      </x:c>
      <x:c r="E144" t="str">
        <x:v>Precision Assembly</x:v>
      </x:c>
      <x:c r="F144" t="n">
        <x:v>561</x:v>
      </x:c>
      <x:c r="G144" t="n">
        <x:v>308</x:v>
      </x:c>
      <x:c r="H144" t="n">
        <x:v>22</x:v>
      </x:c>
      <x:c r="I144" t="n">
        <x:v>121</x:v>
      </x:c>
      <x:c r="J144" t="n">
        <x:f>ROUNDUP(G144/30*H144+I144,0)</x:f>
        <x:v>347</x:v>
      </x:c>
      <x:c r="K144" t="str">
        <x:f>IF(F144&lt;J144,"REORDER","SUFFICIENT")</x:f>
        <x:v>SUFFICIENT</x:v>
      </x:c>
    </x:row>
    <x:row r="145">
      <x:c r="A145" t="str">
        <x:v>PLT-09</x:v>
      </x:c>
      <x:c r="B145" t="str">
        <x:v>Edmonton</x:v>
      </x:c>
      <x:c r="C145" t="n">
        <x:v>46113</x:v>
      </x:c>
      <x:c r="D145" t="str">
        <x:v>SKU-002</x:v>
      </x:c>
      <x:c r="E145" t="str">
        <x:v>Industrial Components</x:v>
      </x:c>
      <x:c r="F145" t="n">
        <x:v>313</x:v>
      </x:c>
      <x:c r="G145" t="n">
        <x:v>286</x:v>
      </x:c>
      <x:c r="H145" t="n">
        <x:v>9</x:v>
      </x:c>
      <x:c r="I145" t="n">
        <x:v>148</x:v>
      </x:c>
      <x:c r="J145" t="n">
        <x:f>ROUNDUP(G145/30*H145+I145,0)</x:f>
        <x:v>234</x:v>
      </x:c>
      <x:c r="K145" t="str">
        <x:f>IF(F145&lt;J145,"REORDER","SUFFICIENT")</x:f>
        <x:v>SUFFICIENT</x:v>
      </x:c>
    </x:row>
    <x:row r="146">
      <x:c r="A146" t="str">
        <x:v>PLT-09</x:v>
      </x:c>
      <x:c r="B146" t="str">
        <x:v>Edmonton</x:v>
      </x:c>
      <x:c r="C146" t="n">
        <x:v>46113</x:v>
      </x:c>
      <x:c r="D146" t="str">
        <x:v>SKU-003</x:v>
      </x:c>
      <x:c r="E146" t="str">
        <x:v>Advanced Packaging</x:v>
      </x:c>
      <x:c r="F146" t="n">
        <x:v>333</x:v>
      </x:c>
      <x:c r="G146" t="n">
        <x:v>266</x:v>
      </x:c>
      <x:c r="H146" t="n">
        <x:v>6</x:v>
      </x:c>
      <x:c r="I146" t="n">
        <x:v>90</x:v>
      </x:c>
      <x:c r="J146" t="n">
        <x:f>ROUNDUP(G146/30*H146+I146,0)</x:f>
        <x:v>144</x:v>
      </x:c>
      <x:c r="K146" t="str">
        <x:f>IF(F146&lt;J146,"REORDER","SUFFICIENT")</x:f>
        <x:v>SUFFICIENT</x:v>
      </x:c>
    </x:row>
    <x:row r="147">
      <x:c r="A147" t="str">
        <x:v>PLT-09</x:v>
      </x:c>
      <x:c r="B147" t="str">
        <x:v>Edmonton</x:v>
      </x:c>
      <x:c r="C147" t="n">
        <x:v>46113</x:v>
      </x:c>
      <x:c r="D147" t="str">
        <x:v>SKU-004</x:v>
      </x:c>
      <x:c r="E147" t="str">
        <x:v>Field Services</x:v>
      </x:c>
      <x:c r="F147" t="n">
        <x:v>578</x:v>
      </x:c>
      <x:c r="G147" t="n">
        <x:v>300</x:v>
      </x:c>
      <x:c r="H147" t="n">
        <x:v>13</x:v>
      </x:c>
      <x:c r="I147" t="n">
        <x:v>60</x:v>
      </x:c>
      <x:c r="J147" t="n">
        <x:f>ROUNDUP(G147/30*H147+I147,0)</x:f>
        <x:v>190</x:v>
      </x:c>
      <x:c r="K147" t="str">
        <x:f>IF(F147&lt;J147,"REORDER","SUFFICIENT")</x:f>
        <x:v>SUFFICIENT</x:v>
      </x:c>
    </x:row>
    <x:row r="148">
      <x:c r="A148" t="str">
        <x:v>PLT-10</x:v>
      </x:c>
      <x:c r="B148" t="str">
        <x:v>Vancouver</x:v>
      </x:c>
      <x:c r="C148" t="n">
        <x:v>46023</x:v>
      </x:c>
      <x:c r="D148" t="str">
        <x:v>SKU-001</x:v>
      </x:c>
      <x:c r="E148" t="str">
        <x:v>Precision Assembly</x:v>
      </x:c>
      <x:c r="F148" t="n">
        <x:v>245</x:v>
      </x:c>
      <x:c r="G148" t="n">
        <x:v>230</x:v>
      </x:c>
      <x:c r="H148" t="n">
        <x:v>26</x:v>
      </x:c>
      <x:c r="I148" t="n">
        <x:v>103</x:v>
      </x:c>
      <x:c r="J148" t="n">
        <x:f>ROUNDUP(G148/30*H148+I148,0)</x:f>
        <x:v>303</x:v>
      </x:c>
      <x:c r="K148" t="str">
        <x:f>IF(F148&lt;J148,"REORDER","SUFFICIENT")</x:f>
        <x:v>REORDER</x:v>
      </x:c>
    </x:row>
    <x:row r="149">
      <x:c r="A149" t="str">
        <x:v>PLT-10</x:v>
      </x:c>
      <x:c r="B149" t="str">
        <x:v>Vancouver</x:v>
      </x:c>
      <x:c r="C149" t="n">
        <x:v>46023</x:v>
      </x:c>
      <x:c r="D149" t="str">
        <x:v>SKU-002</x:v>
      </x:c>
      <x:c r="E149" t="str">
        <x:v>Industrial Components</x:v>
      </x:c>
      <x:c r="F149" t="n">
        <x:v>770</x:v>
      </x:c>
      <x:c r="G149" t="n">
        <x:v>176</x:v>
      </x:c>
      <x:c r="H149" t="n">
        <x:v>9</x:v>
      </x:c>
      <x:c r="I149" t="n">
        <x:v>152</x:v>
      </x:c>
      <x:c r="J149" t="n">
        <x:f>ROUNDUP(G149/30*H149+I149,0)</x:f>
        <x:v>205</x:v>
      </x:c>
      <x:c r="K149" t="str">
        <x:f>IF(F149&lt;J149,"REORDER","SUFFICIENT")</x:f>
        <x:v>SUFFICIENT</x:v>
      </x:c>
    </x:row>
    <x:row r="150">
      <x:c r="A150" t="str">
        <x:v>PLT-10</x:v>
      </x:c>
      <x:c r="B150" t="str">
        <x:v>Vancouver</x:v>
      </x:c>
      <x:c r="C150" t="n">
        <x:v>46023</x:v>
      </x:c>
      <x:c r="D150" t="str">
        <x:v>SKU-003</x:v>
      </x:c>
      <x:c r="E150" t="str">
        <x:v>Advanced Packaging</x:v>
      </x:c>
      <x:c r="F150" t="n">
        <x:v>539</x:v>
      </x:c>
      <x:c r="G150" t="n">
        <x:v>37</x:v>
      </x:c>
      <x:c r="H150" t="n">
        <x:v>16</x:v>
      </x:c>
      <x:c r="I150" t="n">
        <x:v>158</x:v>
      </x:c>
      <x:c r="J150" t="n">
        <x:f>ROUNDUP(G150/30*H150+I150,0)</x:f>
        <x:v>178</x:v>
      </x:c>
      <x:c r="K150" t="str">
        <x:f>IF(F150&lt;J150,"REORDER","SUFFICIENT")</x:f>
        <x:v>SUFFICIENT</x:v>
      </x:c>
    </x:row>
    <x:row r="151">
      <x:c r="A151" t="str">
        <x:v>PLT-10</x:v>
      </x:c>
      <x:c r="B151" t="str">
        <x:v>Vancouver</x:v>
      </x:c>
      <x:c r="C151" t="n">
        <x:v>46023</x:v>
      </x:c>
      <x:c r="D151" t="str">
        <x:v>SKU-004</x:v>
      </x:c>
      <x:c r="E151" t="str">
        <x:v>Field Services</x:v>
      </x:c>
      <x:c r="F151" t="n">
        <x:v>272</x:v>
      </x:c>
      <x:c r="G151" t="n">
        <x:v>158</x:v>
      </x:c>
      <x:c r="H151" t="n">
        <x:v>17</x:v>
      </x:c>
      <x:c r="I151" t="n">
        <x:v>81</x:v>
      </x:c>
      <x:c r="J151" t="n">
        <x:f>ROUNDUP(G151/30*H151+I151,0)</x:f>
        <x:v>171</x:v>
      </x:c>
      <x:c r="K151" t="str">
        <x:f>IF(F151&lt;J151,"REORDER","SUFFICIENT")</x:f>
        <x:v>SUFFICIENT</x:v>
      </x:c>
    </x:row>
    <x:row r="152">
      <x:c r="A152" t="str">
        <x:v>PLT-10</x:v>
      </x:c>
      <x:c r="B152" t="str">
        <x:v>Vancouver</x:v>
      </x:c>
      <x:c r="C152" t="n">
        <x:v>46054</x:v>
      </x:c>
      <x:c r="D152" t="str">
        <x:v>SKU-001</x:v>
      </x:c>
      <x:c r="E152" t="str">
        <x:v>Precision Assembly</x:v>
      </x:c>
      <x:c r="F152" t="n">
        <x:v>501</x:v>
      </x:c>
      <x:c r="G152" t="n">
        <x:v>308</x:v>
      </x:c>
      <x:c r="H152" t="n">
        <x:v>9</x:v>
      </x:c>
      <x:c r="I152" t="n">
        <x:v>187</x:v>
      </x:c>
      <x:c r="J152" t="n">
        <x:f>ROUNDUP(G152/30*H152+I152,0)</x:f>
        <x:v>280</x:v>
      </x:c>
      <x:c r="K152" t="str">
        <x:f>IF(F152&lt;J152,"REORDER","SUFFICIENT")</x:f>
        <x:v>SUFFICIENT</x:v>
      </x:c>
    </x:row>
    <x:row r="153">
      <x:c r="A153" t="str">
        <x:v>PLT-10</x:v>
      </x:c>
      <x:c r="B153" t="str">
        <x:v>Vancouver</x:v>
      </x:c>
      <x:c r="C153" t="n">
        <x:v>46054</x:v>
      </x:c>
      <x:c r="D153" t="str">
        <x:v>SKU-002</x:v>
      </x:c>
      <x:c r="E153" t="str">
        <x:v>Industrial Components</x:v>
      </x:c>
      <x:c r="F153" t="n">
        <x:v>703</x:v>
      </x:c>
      <x:c r="G153" t="n">
        <x:v>303</x:v>
      </x:c>
      <x:c r="H153" t="n">
        <x:v>18</x:v>
      </x:c>
      <x:c r="I153" t="n">
        <x:v>106</x:v>
      </x:c>
      <x:c r="J153" t="n">
        <x:f>ROUNDUP(G153/30*H153+I153,0)</x:f>
        <x:v>288</x:v>
      </x:c>
      <x:c r="K153" t="str">
        <x:f>IF(F153&lt;J153,"REORDER","SUFFICIENT")</x:f>
        <x:v>SUFFICIENT</x:v>
      </x:c>
    </x:row>
    <x:row r="154">
      <x:c r="A154" t="str">
        <x:v>PLT-10</x:v>
      </x:c>
      <x:c r="B154" t="str">
        <x:v>Vancouver</x:v>
      </x:c>
      <x:c r="C154" t="n">
        <x:v>46054</x:v>
      </x:c>
      <x:c r="D154" t="str">
        <x:v>SKU-003</x:v>
      </x:c>
      <x:c r="E154" t="str">
        <x:v>Advanced Packaging</x:v>
      </x:c>
      <x:c r="F154" t="n">
        <x:v>406</x:v>
      </x:c>
      <x:c r="G154" t="n">
        <x:v>270</x:v>
      </x:c>
      <x:c r="H154" t="n">
        <x:v>9</x:v>
      </x:c>
      <x:c r="I154" t="n">
        <x:v>80</x:v>
      </x:c>
      <x:c r="J154" t="n">
        <x:f>ROUNDUP(G154/30*H154+I154,0)</x:f>
        <x:v>161</x:v>
      </x:c>
      <x:c r="K154" t="str">
        <x:f>IF(F154&lt;J154,"REORDER","SUFFICIENT")</x:f>
        <x:v>SUFFICIENT</x:v>
      </x:c>
    </x:row>
    <x:row r="155">
      <x:c r="A155" t="str">
        <x:v>PLT-10</x:v>
      </x:c>
      <x:c r="B155" t="str">
        <x:v>Vancouver</x:v>
      </x:c>
      <x:c r="C155" t="n">
        <x:v>46054</x:v>
      </x:c>
      <x:c r="D155" t="str">
        <x:v>SKU-004</x:v>
      </x:c>
      <x:c r="E155" t="str">
        <x:v>Field Services</x:v>
      </x:c>
      <x:c r="F155" t="n">
        <x:v>348</x:v>
      </x:c>
      <x:c r="G155" t="n">
        <x:v>214</x:v>
      </x:c>
      <x:c r="H155" t="n">
        <x:v>6</x:v>
      </x:c>
      <x:c r="I155" t="n">
        <x:v>167</x:v>
      </x:c>
      <x:c r="J155" t="n">
        <x:f>ROUNDUP(G155/30*H155+I155,0)</x:f>
        <x:v>210</x:v>
      </x:c>
      <x:c r="K155" t="str">
        <x:f>IF(F155&lt;J155,"REORDER","SUFFICIENT")</x:f>
        <x:v>SUFFICIENT</x:v>
      </x:c>
    </x:row>
    <x:row r="156">
      <x:c r="A156" t="str">
        <x:v>PLT-10</x:v>
      </x:c>
      <x:c r="B156" t="str">
        <x:v>Vancouver</x:v>
      </x:c>
      <x:c r="C156" t="n">
        <x:v>46082</x:v>
      </x:c>
      <x:c r="D156" t="str">
        <x:v>SKU-001</x:v>
      </x:c>
      <x:c r="E156" t="str">
        <x:v>Precision Assembly</x:v>
      </x:c>
      <x:c r="F156" t="n">
        <x:v>432</x:v>
      </x:c>
      <x:c r="G156" t="n">
        <x:v>190</x:v>
      </x:c>
      <x:c r="H156" t="n">
        <x:v>14</x:v>
      </x:c>
      <x:c r="I156" t="n">
        <x:v>134</x:v>
      </x:c>
      <x:c r="J156" t="n">
        <x:f>ROUNDUP(G156/30*H156+I156,0)</x:f>
        <x:v>223</x:v>
      </x:c>
      <x:c r="K156" t="str">
        <x:f>IF(F156&lt;J156,"REORDER","SUFFICIENT")</x:f>
        <x:v>SUFFICIENT</x:v>
      </x:c>
    </x:row>
    <x:row r="157">
      <x:c r="A157" t="str">
        <x:v>PLT-10</x:v>
      </x:c>
      <x:c r="B157" t="str">
        <x:v>Vancouver</x:v>
      </x:c>
      <x:c r="C157" t="n">
        <x:v>46082</x:v>
      </x:c>
      <x:c r="D157" t="str">
        <x:v>SKU-002</x:v>
      </x:c>
      <x:c r="E157" t="str">
        <x:v>Industrial Components</x:v>
      </x:c>
      <x:c r="F157" t="n">
        <x:v>796</x:v>
      </x:c>
      <x:c r="G157" t="n">
        <x:v>53</x:v>
      </x:c>
      <x:c r="H157" t="n">
        <x:v>11</x:v>
      </x:c>
      <x:c r="I157" t="n">
        <x:v>153</x:v>
      </x:c>
      <x:c r="J157" t="n">
        <x:f>ROUNDUP(G157/30*H157+I157,0)</x:f>
        <x:v>173</x:v>
      </x:c>
      <x:c r="K157" t="str">
        <x:f>IF(F157&lt;J157,"REORDER","SUFFICIENT")</x:f>
        <x:v>SUFFICIENT</x:v>
      </x:c>
    </x:row>
    <x:row r="158">
      <x:c r="A158" t="str">
        <x:v>PLT-10</x:v>
      </x:c>
      <x:c r="B158" t="str">
        <x:v>Vancouver</x:v>
      </x:c>
      <x:c r="C158" t="n">
        <x:v>46082</x:v>
      </x:c>
      <x:c r="D158" t="str">
        <x:v>SKU-003</x:v>
      </x:c>
      <x:c r="E158" t="str">
        <x:v>Advanced Packaging</x:v>
      </x:c>
      <x:c r="F158" t="n">
        <x:v>413</x:v>
      </x:c>
      <x:c r="G158" t="n">
        <x:v>139</x:v>
      </x:c>
      <x:c r="H158" t="n">
        <x:v>19</x:v>
      </x:c>
      <x:c r="I158" t="n">
        <x:v>132</x:v>
      </x:c>
      <x:c r="J158" t="n">
        <x:f>ROUNDUP(G158/30*H158+I158,0)</x:f>
        <x:v>221</x:v>
      </x:c>
      <x:c r="K158" t="str">
        <x:f>IF(F158&lt;J158,"REORDER","SUFFICIENT")</x:f>
        <x:v>SUFFICIENT</x:v>
      </x:c>
    </x:row>
    <x:row r="159">
      <x:c r="A159" t="str">
        <x:v>PLT-10</x:v>
      </x:c>
      <x:c r="B159" t="str">
        <x:v>Vancouver</x:v>
      </x:c>
      <x:c r="C159" t="n">
        <x:v>46082</x:v>
      </x:c>
      <x:c r="D159" t="str">
        <x:v>SKU-004</x:v>
      </x:c>
      <x:c r="E159" t="str">
        <x:v>Field Services</x:v>
      </x:c>
      <x:c r="F159" t="n">
        <x:v>60</x:v>
      </x:c>
      <x:c r="G159" t="n">
        <x:v>198</x:v>
      </x:c>
      <x:c r="H159" t="n">
        <x:v>26</x:v>
      </x:c>
      <x:c r="I159" t="n">
        <x:v>109</x:v>
      </x:c>
      <x:c r="J159" t="n">
        <x:f>ROUNDUP(G159/30*H159+I159,0)</x:f>
        <x:v>281</x:v>
      </x:c>
      <x:c r="K159" t="str">
        <x:f>IF(F159&lt;J159,"REORDER","SUFFICIENT")</x:f>
        <x:v>REORDER</x:v>
      </x:c>
    </x:row>
    <x:row r="160">
      <x:c r="A160" t="str">
        <x:v>PLT-10</x:v>
      </x:c>
      <x:c r="B160" t="str">
        <x:v>Vancouver</x:v>
      </x:c>
      <x:c r="C160" t="n">
        <x:v>46113</x:v>
      </x:c>
      <x:c r="D160" t="str">
        <x:v>SKU-001</x:v>
      </x:c>
      <x:c r="E160" t="str">
        <x:v>Precision Assembly</x:v>
      </x:c>
      <x:c r="F160" t="n">
        <x:v>531</x:v>
      </x:c>
      <x:c r="G160" t="n">
        <x:v>124</x:v>
      </x:c>
      <x:c r="H160" t="n">
        <x:v>13</x:v>
      </x:c>
      <x:c r="I160" t="n">
        <x:v>154</x:v>
      </x:c>
      <x:c r="J160" t="n">
        <x:f>ROUNDUP(G160/30*H160+I160,0)</x:f>
        <x:v>208</x:v>
      </x:c>
      <x:c r="K160" t="str">
        <x:f>IF(F160&lt;J160,"REORDER","SUFFICIENT")</x:f>
        <x:v>SUFFICIENT</x:v>
      </x:c>
    </x:row>
    <x:row r="161">
      <x:c r="A161" t="str">
        <x:v>PLT-10</x:v>
      </x:c>
      <x:c r="B161" t="str">
        <x:v>Vancouver</x:v>
      </x:c>
      <x:c r="C161" t="n">
        <x:v>46113</x:v>
      </x:c>
      <x:c r="D161" t="str">
        <x:v>SKU-002</x:v>
      </x:c>
      <x:c r="E161" t="str">
        <x:v>Industrial Components</x:v>
      </x:c>
      <x:c r="F161" t="n">
        <x:v>714</x:v>
      </x:c>
      <x:c r="G161" t="n">
        <x:v>99</x:v>
      </x:c>
      <x:c r="H161" t="n">
        <x:v>13</x:v>
      </x:c>
      <x:c r="I161" t="n">
        <x:v>155</x:v>
      </x:c>
      <x:c r="J161" t="n">
        <x:f>ROUNDUP(G161/30*H161+I161,0)</x:f>
        <x:v>198</x:v>
      </x:c>
      <x:c r="K161" t="str">
        <x:f>IF(F161&lt;J161,"REORDER","SUFFICIENT")</x:f>
        <x:v>SUFFICIENT</x:v>
      </x:c>
    </x:row>
    <x:row r="162">
      <x:c r="A162" t="str">
        <x:v>PLT-10</x:v>
      </x:c>
      <x:c r="B162" t="str">
        <x:v>Vancouver</x:v>
      </x:c>
      <x:c r="C162" t="n">
        <x:v>46113</x:v>
      </x:c>
      <x:c r="D162" t="str">
        <x:v>SKU-003</x:v>
      </x:c>
      <x:c r="E162" t="str">
        <x:v>Advanced Packaging</x:v>
      </x:c>
      <x:c r="F162" t="n">
        <x:v>336</x:v>
      </x:c>
      <x:c r="G162" t="n">
        <x:v>244</x:v>
      </x:c>
      <x:c r="H162" t="n">
        <x:v>9</x:v>
      </x:c>
      <x:c r="I162" t="n">
        <x:v>190</x:v>
      </x:c>
      <x:c r="J162" t="n">
        <x:f>ROUNDUP(G162/30*H162+I162,0)</x:f>
        <x:v>264</x:v>
      </x:c>
      <x:c r="K162" t="str">
        <x:f>IF(F162&lt;J162,"REORDER","SUFFICIENT")</x:f>
        <x:v>SUFFICIENT</x:v>
      </x:c>
    </x:row>
    <x:row r="163">
      <x:c r="A163" t="str">
        <x:v>PLT-10</x:v>
      </x:c>
      <x:c r="B163" t="str">
        <x:v>Vancouver</x:v>
      </x:c>
      <x:c r="C163" t="n">
        <x:v>46113</x:v>
      </x:c>
      <x:c r="D163" t="str">
        <x:v>SKU-004</x:v>
      </x:c>
      <x:c r="E163" t="str">
        <x:v>Field Services</x:v>
      </x:c>
      <x:c r="F163" t="n">
        <x:v>573</x:v>
      </x:c>
      <x:c r="G163" t="n">
        <x:v>38</x:v>
      </x:c>
      <x:c r="H163" t="n">
        <x:v>3</x:v>
      </x:c>
      <x:c r="I163" t="n">
        <x:v>137</x:v>
      </x:c>
      <x:c r="J163" t="n">
        <x:f>ROUNDUP(G163/30*H163+I163,0)</x:f>
        <x:v>141</x:v>
      </x:c>
      <x:c r="K163" t="str">
        <x:f>IF(F163&lt;J163,"REORDER","SUFFICIENT")</x:f>
        <x:v>SUFFICIENT</x:v>
      </x:c>
    </x:row>
    <x:row r="164">
      <x:c r="A164" t="str">
        <x:v>PLT-11</x:v>
      </x:c>
      <x:c r="B164" t="str">
        <x:v>Halifax</x:v>
      </x:c>
      <x:c r="C164" t="n">
        <x:v>46023</x:v>
      </x:c>
      <x:c r="D164" t="str">
        <x:v>SKU-001</x:v>
      </x:c>
      <x:c r="E164" t="str">
        <x:v>Precision Assembly</x:v>
      </x:c>
      <x:c r="F164" t="n">
        <x:v>237</x:v>
      </x:c>
      <x:c r="G164" t="n">
        <x:v>149</x:v>
      </x:c>
      <x:c r="H164" t="n">
        <x:v>13</x:v>
      </x:c>
      <x:c r="I164" t="n">
        <x:v>124</x:v>
      </x:c>
      <x:c r="J164" t="n">
        <x:f>ROUNDUP(G164/30*H164+I164,0)</x:f>
        <x:v>189</x:v>
      </x:c>
      <x:c r="K164" t="str">
        <x:f>IF(F164&lt;J164,"REORDER","SUFFICIENT")</x:f>
        <x:v>SUFFICIENT</x:v>
      </x:c>
    </x:row>
    <x:row r="165">
      <x:c r="A165" t="str">
        <x:v>PLT-11</x:v>
      </x:c>
      <x:c r="B165" t="str">
        <x:v>Halifax</x:v>
      </x:c>
      <x:c r="C165" t="n">
        <x:v>46023</x:v>
      </x:c>
      <x:c r="D165" t="str">
        <x:v>SKU-002</x:v>
      </x:c>
      <x:c r="E165" t="str">
        <x:v>Industrial Components</x:v>
      </x:c>
      <x:c r="F165" t="n">
        <x:v>167</x:v>
      </x:c>
      <x:c r="G165" t="n">
        <x:v>61</x:v>
      </x:c>
      <x:c r="H165" t="n">
        <x:v>26</x:v>
      </x:c>
      <x:c r="I165" t="n">
        <x:v>62</x:v>
      </x:c>
      <x:c r="J165" t="n">
        <x:f>ROUNDUP(G165/30*H165+I165,0)</x:f>
        <x:v>115</x:v>
      </x:c>
      <x:c r="K165" t="str">
        <x:f>IF(F165&lt;J165,"REORDER","SUFFICIENT")</x:f>
        <x:v>SUFFICIENT</x:v>
      </x:c>
    </x:row>
    <x:row r="166">
      <x:c r="A166" t="str">
        <x:v>PLT-11</x:v>
      </x:c>
      <x:c r="B166" t="str">
        <x:v>Halifax</x:v>
      </x:c>
      <x:c r="C166" t="n">
        <x:v>46023</x:v>
      </x:c>
      <x:c r="D166" t="str">
        <x:v>SKU-003</x:v>
      </x:c>
      <x:c r="E166" t="str">
        <x:v>Advanced Packaging</x:v>
      </x:c>
      <x:c r="F166" t="n">
        <x:v>639</x:v>
      </x:c>
      <x:c r="G166" t="n">
        <x:v>192</x:v>
      </x:c>
      <x:c r="H166" t="n">
        <x:v>11</x:v>
      </x:c>
      <x:c r="I166" t="n">
        <x:v>147</x:v>
      </x:c>
      <x:c r="J166" t="n">
        <x:f>ROUNDUP(G166/30*H166+I166,0)</x:f>
        <x:v>218</x:v>
      </x:c>
      <x:c r="K166" t="str">
        <x:f>IF(F166&lt;J166,"REORDER","SUFFICIENT")</x:f>
        <x:v>SUFFICIENT</x:v>
      </x:c>
    </x:row>
    <x:row r="167">
      <x:c r="A167" t="str">
        <x:v>PLT-11</x:v>
      </x:c>
      <x:c r="B167" t="str">
        <x:v>Halifax</x:v>
      </x:c>
      <x:c r="C167" t="n">
        <x:v>46023</x:v>
      </x:c>
      <x:c r="D167" t="str">
        <x:v>SKU-004</x:v>
      </x:c>
      <x:c r="E167" t="str">
        <x:v>Field Services</x:v>
      </x:c>
      <x:c r="F167" t="n">
        <x:v>761</x:v>
      </x:c>
      <x:c r="G167" t="n">
        <x:v>56</x:v>
      </x:c>
      <x:c r="H167" t="n">
        <x:v>7</x:v>
      </x:c>
      <x:c r="I167" t="n">
        <x:v>76</x:v>
      </x:c>
      <x:c r="J167" t="n">
        <x:f>ROUNDUP(G167/30*H167+I167,0)</x:f>
        <x:v>90</x:v>
      </x:c>
      <x:c r="K167" t="str">
        <x:f>IF(F167&lt;J167,"REORDER","SUFFICIENT")</x:f>
        <x:v>SUFFICIENT</x:v>
      </x:c>
    </x:row>
    <x:row r="168">
      <x:c r="A168" t="str">
        <x:v>PLT-11</x:v>
      </x:c>
      <x:c r="B168" t="str">
        <x:v>Halifax</x:v>
      </x:c>
      <x:c r="C168" t="n">
        <x:v>46054</x:v>
      </x:c>
      <x:c r="D168" t="str">
        <x:v>SKU-001</x:v>
      </x:c>
      <x:c r="E168" t="str">
        <x:v>Precision Assembly</x:v>
      </x:c>
      <x:c r="F168" t="n">
        <x:v>254</x:v>
      </x:c>
      <x:c r="G168" t="n">
        <x:v>80</x:v>
      </x:c>
      <x:c r="H168" t="n">
        <x:v>18</x:v>
      </x:c>
      <x:c r="I168" t="n">
        <x:v>138</x:v>
      </x:c>
      <x:c r="J168" t="n">
        <x:f>ROUNDUP(G168/30*H168+I168,0)</x:f>
        <x:v>186</x:v>
      </x:c>
      <x:c r="K168" t="str">
        <x:f>IF(F168&lt;J168,"REORDER","SUFFICIENT")</x:f>
        <x:v>SUFFICIENT</x:v>
      </x:c>
    </x:row>
    <x:row r="169">
      <x:c r="A169" t="str">
        <x:v>PLT-11</x:v>
      </x:c>
      <x:c r="B169" t="str">
        <x:v>Halifax</x:v>
      </x:c>
      <x:c r="C169" t="n">
        <x:v>46054</x:v>
      </x:c>
      <x:c r="D169" t="str">
        <x:v>SKU-002</x:v>
      </x:c>
      <x:c r="E169" t="str">
        <x:v>Industrial Components</x:v>
      </x:c>
      <x:c r="F169" t="n">
        <x:v>270</x:v>
      </x:c>
      <x:c r="G169" t="n">
        <x:v>135</x:v>
      </x:c>
      <x:c r="H169" t="n">
        <x:v>8</x:v>
      </x:c>
      <x:c r="I169" t="n">
        <x:v>170</x:v>
      </x:c>
      <x:c r="J169" t="n">
        <x:f>ROUNDUP(G169/30*H169+I169,0)</x:f>
        <x:v>206</x:v>
      </x:c>
      <x:c r="K169" t="str">
        <x:f>IF(F169&lt;J169,"REORDER","SUFFICIENT")</x:f>
        <x:v>SUFFICIENT</x:v>
      </x:c>
    </x:row>
    <x:row r="170">
      <x:c r="A170" t="str">
        <x:v>PLT-11</x:v>
      </x:c>
      <x:c r="B170" t="str">
        <x:v>Halifax</x:v>
      </x:c>
      <x:c r="C170" t="n">
        <x:v>46054</x:v>
      </x:c>
      <x:c r="D170" t="str">
        <x:v>SKU-003</x:v>
      </x:c>
      <x:c r="E170" t="str">
        <x:v>Advanced Packaging</x:v>
      </x:c>
      <x:c r="F170" t="n">
        <x:v>569</x:v>
      </x:c>
      <x:c r="G170" t="n">
        <x:v>291</x:v>
      </x:c>
      <x:c r="H170" t="n">
        <x:v>23</x:v>
      </x:c>
      <x:c r="I170" t="n">
        <x:v>67</x:v>
      </x:c>
      <x:c r="J170" t="n">
        <x:f>ROUNDUP(G170/30*H170+I170,0)</x:f>
        <x:v>291</x:v>
      </x:c>
      <x:c r="K170" t="str">
        <x:f>IF(F170&lt;J170,"REORDER","SUFFICIENT")</x:f>
        <x:v>SUFFICIENT</x:v>
      </x:c>
    </x:row>
    <x:row r="171">
      <x:c r="A171" t="str">
        <x:v>PLT-11</x:v>
      </x:c>
      <x:c r="B171" t="str">
        <x:v>Halifax</x:v>
      </x:c>
      <x:c r="C171" t="n">
        <x:v>46054</x:v>
      </x:c>
      <x:c r="D171" t="str">
        <x:v>SKU-004</x:v>
      </x:c>
      <x:c r="E171" t="str">
        <x:v>Field Services</x:v>
      </x:c>
      <x:c r="F171" t="n">
        <x:v>310</x:v>
      </x:c>
      <x:c r="G171" t="n">
        <x:v>263</x:v>
      </x:c>
      <x:c r="H171" t="n">
        <x:v>13</x:v>
      </x:c>
      <x:c r="I171" t="n">
        <x:v>96</x:v>
      </x:c>
      <x:c r="J171" t="n">
        <x:f>ROUNDUP(G171/30*H171+I171,0)</x:f>
        <x:v>210</x:v>
      </x:c>
      <x:c r="K171" t="str">
        <x:f>IF(F171&lt;J171,"REORDER","SUFFICIENT")</x:f>
        <x:v>SUFFICIENT</x:v>
      </x:c>
    </x:row>
    <x:row r="172">
      <x:c r="A172" t="str">
        <x:v>PLT-11</x:v>
      </x:c>
      <x:c r="B172" t="str">
        <x:v>Halifax</x:v>
      </x:c>
      <x:c r="C172" t="n">
        <x:v>46082</x:v>
      </x:c>
      <x:c r="D172" t="str">
        <x:v>SKU-001</x:v>
      </x:c>
      <x:c r="E172" t="str">
        <x:v>Precision Assembly</x:v>
      </x:c>
      <x:c r="F172" t="n">
        <x:v>707</x:v>
      </x:c>
      <x:c r="G172" t="n">
        <x:v>35</x:v>
      </x:c>
      <x:c r="H172" t="n">
        <x:v>16</x:v>
      </x:c>
      <x:c r="I172" t="n">
        <x:v>183</x:v>
      </x:c>
      <x:c r="J172" t="n">
        <x:f>ROUNDUP(G172/30*H172+I172,0)</x:f>
        <x:v>202</x:v>
      </x:c>
      <x:c r="K172" t="str">
        <x:f>IF(F172&lt;J172,"REORDER","SUFFICIENT")</x:f>
        <x:v>SUFFICIENT</x:v>
      </x:c>
    </x:row>
    <x:row r="173">
      <x:c r="A173" t="str">
        <x:v>PLT-11</x:v>
      </x:c>
      <x:c r="B173" t="str">
        <x:v>Halifax</x:v>
      </x:c>
      <x:c r="C173" t="n">
        <x:v>46082</x:v>
      </x:c>
      <x:c r="D173" t="str">
        <x:v>SKU-002</x:v>
      </x:c>
      <x:c r="E173" t="str">
        <x:v>Industrial Components</x:v>
      </x:c>
      <x:c r="F173" t="n">
        <x:v>667</x:v>
      </x:c>
      <x:c r="G173" t="n">
        <x:v>301</x:v>
      </x:c>
      <x:c r="H173" t="n">
        <x:v>6</x:v>
      </x:c>
      <x:c r="I173" t="n">
        <x:v>86</x:v>
      </x:c>
      <x:c r="J173" t="n">
        <x:f>ROUNDUP(G173/30*H173+I173,0)</x:f>
        <x:v>147</x:v>
      </x:c>
      <x:c r="K173" t="str">
        <x:f>IF(F173&lt;J173,"REORDER","SUFFICIENT")</x:f>
        <x:v>SUFFICIENT</x:v>
      </x:c>
    </x:row>
    <x:row r="174">
      <x:c r="A174" t="str">
        <x:v>PLT-11</x:v>
      </x:c>
      <x:c r="B174" t="str">
        <x:v>Halifax</x:v>
      </x:c>
      <x:c r="C174" t="n">
        <x:v>46082</x:v>
      </x:c>
      <x:c r="D174" t="str">
        <x:v>SKU-003</x:v>
      </x:c>
      <x:c r="E174" t="str">
        <x:v>Advanced Packaging</x:v>
      </x:c>
      <x:c r="F174" t="n">
        <x:v>303</x:v>
      </x:c>
      <x:c r="G174" t="n">
        <x:v>323</x:v>
      </x:c>
      <x:c r="H174" t="n">
        <x:v>14</x:v>
      </x:c>
      <x:c r="I174" t="n">
        <x:v>87</x:v>
      </x:c>
      <x:c r="J174" t="n">
        <x:f>ROUNDUP(G174/30*H174+I174,0)</x:f>
        <x:v>238</x:v>
      </x:c>
      <x:c r="K174" t="str">
        <x:f>IF(F174&lt;J174,"REORDER","SUFFICIENT")</x:f>
        <x:v>SUFFICIENT</x:v>
      </x:c>
    </x:row>
    <x:row r="175">
      <x:c r="A175" t="str">
        <x:v>PLT-11</x:v>
      </x:c>
      <x:c r="B175" t="str">
        <x:v>Halifax</x:v>
      </x:c>
      <x:c r="C175" t="n">
        <x:v>46082</x:v>
      </x:c>
      <x:c r="D175" t="str">
        <x:v>SKU-004</x:v>
      </x:c>
      <x:c r="E175" t="str">
        <x:v>Field Services</x:v>
      </x:c>
      <x:c r="F175" t="n">
        <x:v>591</x:v>
      </x:c>
      <x:c r="G175" t="n">
        <x:v>128</x:v>
      </x:c>
      <x:c r="H175" t="n">
        <x:v>25</x:v>
      </x:c>
      <x:c r="I175" t="n">
        <x:v>129</x:v>
      </x:c>
      <x:c r="J175" t="n">
        <x:f>ROUNDUP(G175/30*H175+I175,0)</x:f>
        <x:v>236</x:v>
      </x:c>
      <x:c r="K175" t="str">
        <x:f>IF(F175&lt;J175,"REORDER","SUFFICIENT")</x:f>
        <x:v>SUFFICIENT</x:v>
      </x:c>
    </x:row>
    <x:row r="176">
      <x:c r="A176" t="str">
        <x:v>PLT-11</x:v>
      </x:c>
      <x:c r="B176" t="str">
        <x:v>Halifax</x:v>
      </x:c>
      <x:c r="C176" t="n">
        <x:v>46113</x:v>
      </x:c>
      <x:c r="D176" t="str">
        <x:v>SKU-001</x:v>
      </x:c>
      <x:c r="E176" t="str">
        <x:v>Precision Assembly</x:v>
      </x:c>
      <x:c r="F176" t="n">
        <x:v>407</x:v>
      </x:c>
      <x:c r="G176" t="n">
        <x:v>110</x:v>
      </x:c>
      <x:c r="H176" t="n">
        <x:v>20</x:v>
      </x:c>
      <x:c r="I176" t="n">
        <x:v>168</x:v>
      </x:c>
      <x:c r="J176" t="n">
        <x:f>ROUNDUP(G176/30*H176+I176,0)</x:f>
        <x:v>242</x:v>
      </x:c>
      <x:c r="K176" t="str">
        <x:f>IF(F176&lt;J176,"REORDER","SUFFICIENT")</x:f>
        <x:v>SUFFICIENT</x:v>
      </x:c>
    </x:row>
    <x:row r="177">
      <x:c r="A177" t="str">
        <x:v>PLT-11</x:v>
      </x:c>
      <x:c r="B177" t="str">
        <x:v>Halifax</x:v>
      </x:c>
      <x:c r="C177" t="n">
        <x:v>46113</x:v>
      </x:c>
      <x:c r="D177" t="str">
        <x:v>SKU-002</x:v>
      </x:c>
      <x:c r="E177" t="str">
        <x:v>Industrial Components</x:v>
      </x:c>
      <x:c r="F177" t="n">
        <x:v>70</x:v>
      </x:c>
      <x:c r="G177" t="n">
        <x:v>248</x:v>
      </x:c>
      <x:c r="H177" t="n">
        <x:v>20</x:v>
      </x:c>
      <x:c r="I177" t="n">
        <x:v>113</x:v>
      </x:c>
      <x:c r="J177" t="n">
        <x:f>ROUNDUP(G177/30*H177+I177,0)</x:f>
        <x:v>279</x:v>
      </x:c>
      <x:c r="K177" t="str">
        <x:f>IF(F177&lt;J177,"REORDER","SUFFICIENT")</x:f>
        <x:v>REORDER</x:v>
      </x:c>
    </x:row>
    <x:row r="178">
      <x:c r="A178" t="str">
        <x:v>PLT-11</x:v>
      </x:c>
      <x:c r="B178" t="str">
        <x:v>Halifax</x:v>
      </x:c>
      <x:c r="C178" t="n">
        <x:v>46113</x:v>
      </x:c>
      <x:c r="D178" t="str">
        <x:v>SKU-003</x:v>
      </x:c>
      <x:c r="E178" t="str">
        <x:v>Advanced Packaging</x:v>
      </x:c>
      <x:c r="F178" t="n">
        <x:v>538</x:v>
      </x:c>
      <x:c r="G178" t="n">
        <x:v>76</x:v>
      </x:c>
      <x:c r="H178" t="n">
        <x:v>10</x:v>
      </x:c>
      <x:c r="I178" t="n">
        <x:v>120</x:v>
      </x:c>
      <x:c r="J178" t="n">
        <x:f>ROUNDUP(G178/30*H178+I178,0)</x:f>
        <x:v>146</x:v>
      </x:c>
      <x:c r="K178" t="str">
        <x:f>IF(F178&lt;J178,"REORDER","SUFFICIENT")</x:f>
        <x:v>SUFFICIENT</x:v>
      </x:c>
    </x:row>
    <x:row r="179">
      <x:c r="A179" t="str">
        <x:v>PLT-11</x:v>
      </x:c>
      <x:c r="B179" t="str">
        <x:v>Halifax</x:v>
      </x:c>
      <x:c r="C179" t="n">
        <x:v>46113</x:v>
      </x:c>
      <x:c r="D179" t="str">
        <x:v>SKU-004</x:v>
      </x:c>
      <x:c r="E179" t="str">
        <x:v>Field Services</x:v>
      </x:c>
      <x:c r="F179" t="n">
        <x:v>553</x:v>
      </x:c>
      <x:c r="G179" t="n">
        <x:v>235</x:v>
      </x:c>
      <x:c r="H179" t="n">
        <x:v>25</x:v>
      </x:c>
      <x:c r="I179" t="n">
        <x:v>142</x:v>
      </x:c>
      <x:c r="J179" t="n">
        <x:f>ROUNDUP(G179/30*H179+I179,0)</x:f>
        <x:v>338</x:v>
      </x:c>
      <x:c r="K179" t="str">
        <x:f>IF(F179&lt;J179,"REORDER","SUFFICIENT")</x:f>
        <x:v>SUFFICIENT</x:v>
      </x:c>
    </x:row>
    <x:row r="180">
      <x:c r="A180" t="str">
        <x:v>PLT-12</x:v>
      </x:c>
      <x:c r="B180" t="str">
        <x:v>Saskatoon</x:v>
      </x:c>
      <x:c r="C180" t="n">
        <x:v>46023</x:v>
      </x:c>
      <x:c r="D180" t="str">
        <x:v>SKU-001</x:v>
      </x:c>
      <x:c r="E180" t="str">
        <x:v>Precision Assembly</x:v>
      </x:c>
      <x:c r="F180" t="n">
        <x:v>527</x:v>
      </x:c>
      <x:c r="G180" t="n">
        <x:v>41</x:v>
      </x:c>
      <x:c r="H180" t="n">
        <x:v>4</x:v>
      </x:c>
      <x:c r="I180" t="n">
        <x:v>96</x:v>
      </x:c>
      <x:c r="J180" t="n">
        <x:f>ROUNDUP(G180/30*H180+I180,0)</x:f>
        <x:v>102</x:v>
      </x:c>
      <x:c r="K180" t="str">
        <x:f>IF(F180&lt;J180,"REORDER","SUFFICIENT")</x:f>
        <x:v>SUFFICIENT</x:v>
      </x:c>
    </x:row>
    <x:row r="181">
      <x:c r="A181" t="str">
        <x:v>PLT-12</x:v>
      </x:c>
      <x:c r="B181" t="str">
        <x:v>Saskatoon</x:v>
      </x:c>
      <x:c r="C181" t="n">
        <x:v>46023</x:v>
      </x:c>
      <x:c r="D181" t="str">
        <x:v>SKU-002</x:v>
      </x:c>
      <x:c r="E181" t="str">
        <x:v>Industrial Components</x:v>
      </x:c>
      <x:c r="F181" t="n">
        <x:v>518</x:v>
      </x:c>
      <x:c r="G181" t="n">
        <x:v>158</x:v>
      </x:c>
      <x:c r="H181" t="n">
        <x:v>23</x:v>
      </x:c>
      <x:c r="I181" t="n">
        <x:v>167</x:v>
      </x:c>
      <x:c r="J181" t="n">
        <x:f>ROUNDUP(G181/30*H181+I181,0)</x:f>
        <x:v>289</x:v>
      </x:c>
      <x:c r="K181" t="str">
        <x:f>IF(F181&lt;J181,"REORDER","SUFFICIENT")</x:f>
        <x:v>SUFFICIENT</x:v>
      </x:c>
    </x:row>
    <x:row r="182">
      <x:c r="A182" t="str">
        <x:v>PLT-12</x:v>
      </x:c>
      <x:c r="B182" t="str">
        <x:v>Saskatoon</x:v>
      </x:c>
      <x:c r="C182" t="n">
        <x:v>46023</x:v>
      </x:c>
      <x:c r="D182" t="str">
        <x:v>SKU-003</x:v>
      </x:c>
      <x:c r="E182" t="str">
        <x:v>Advanced Packaging</x:v>
      </x:c>
      <x:c r="F182" t="n">
        <x:v>694</x:v>
      </x:c>
      <x:c r="G182" t="n">
        <x:v>112</x:v>
      </x:c>
      <x:c r="H182" t="n">
        <x:v>7</x:v>
      </x:c>
      <x:c r="I182" t="n">
        <x:v>69</x:v>
      </x:c>
      <x:c r="J182" t="n">
        <x:f>ROUNDUP(G182/30*H182+I182,0)</x:f>
        <x:v>96</x:v>
      </x:c>
      <x:c r="K182" t="str">
        <x:f>IF(F182&lt;J182,"REORDER","SUFFICIENT")</x:f>
        <x:v>SUFFICIENT</x:v>
      </x:c>
    </x:row>
    <x:row r="183">
      <x:c r="A183" t="str">
        <x:v>PLT-12</x:v>
      </x:c>
      <x:c r="B183" t="str">
        <x:v>Saskatoon</x:v>
      </x:c>
      <x:c r="C183" t="n">
        <x:v>46023</x:v>
      </x:c>
      <x:c r="D183" t="str">
        <x:v>SKU-004</x:v>
      </x:c>
      <x:c r="E183" t="str">
        <x:v>Field Services</x:v>
      </x:c>
      <x:c r="F183" t="n">
        <x:v>279</x:v>
      </x:c>
      <x:c r="G183" t="n">
        <x:v>118</x:v>
      </x:c>
      <x:c r="H183" t="n">
        <x:v>9</x:v>
      </x:c>
      <x:c r="I183" t="n">
        <x:v>144</x:v>
      </x:c>
      <x:c r="J183" t="n">
        <x:f>ROUNDUP(G183/30*H183+I183,0)</x:f>
        <x:v>180</x:v>
      </x:c>
      <x:c r="K183" t="str">
        <x:f>IF(F183&lt;J183,"REORDER","SUFFICIENT")</x:f>
        <x:v>SUFFICIENT</x:v>
      </x:c>
    </x:row>
    <x:row r="184">
      <x:c r="A184" t="str">
        <x:v>PLT-12</x:v>
      </x:c>
      <x:c r="B184" t="str">
        <x:v>Saskatoon</x:v>
      </x:c>
      <x:c r="C184" t="n">
        <x:v>46054</x:v>
      </x:c>
      <x:c r="D184" t="str">
        <x:v>SKU-001</x:v>
      </x:c>
      <x:c r="E184" t="str">
        <x:v>Precision Assembly</x:v>
      </x:c>
      <x:c r="F184" t="n">
        <x:v>481</x:v>
      </x:c>
      <x:c r="G184" t="n">
        <x:v>324</x:v>
      </x:c>
      <x:c r="H184" t="n">
        <x:v>25</x:v>
      </x:c>
      <x:c r="I184" t="n">
        <x:v>90</x:v>
      </x:c>
      <x:c r="J184" t="n">
        <x:f>ROUNDUP(G184/30*H184+I184,0)</x:f>
        <x:v>360</x:v>
      </x:c>
      <x:c r="K184" t="str">
        <x:f>IF(F184&lt;J184,"REORDER","SUFFICIENT")</x:f>
        <x:v>SUFFICIENT</x:v>
      </x:c>
    </x:row>
    <x:row r="185">
      <x:c r="A185" t="str">
        <x:v>PLT-12</x:v>
      </x:c>
      <x:c r="B185" t="str">
        <x:v>Saskatoon</x:v>
      </x:c>
      <x:c r="C185" t="n">
        <x:v>46054</x:v>
      </x:c>
      <x:c r="D185" t="str">
        <x:v>SKU-002</x:v>
      </x:c>
      <x:c r="E185" t="str">
        <x:v>Industrial Components</x:v>
      </x:c>
      <x:c r="F185" t="n">
        <x:v>754</x:v>
      </x:c>
      <x:c r="G185" t="n">
        <x:v>282</x:v>
      </x:c>
      <x:c r="H185" t="n">
        <x:v>26</x:v>
      </x:c>
      <x:c r="I185" t="n">
        <x:v>165</x:v>
      </x:c>
      <x:c r="J185" t="n">
        <x:f>ROUNDUP(G185/30*H185+I185,0)</x:f>
        <x:v>410</x:v>
      </x:c>
      <x:c r="K185" t="str">
        <x:f>IF(F185&lt;J185,"REORDER","SUFFICIENT")</x:f>
        <x:v>SUFFICIENT</x:v>
      </x:c>
    </x:row>
    <x:row r="186">
      <x:c r="A186" t="str">
        <x:v>PLT-12</x:v>
      </x:c>
      <x:c r="B186" t="str">
        <x:v>Saskatoon</x:v>
      </x:c>
      <x:c r="C186" t="n">
        <x:v>46054</x:v>
      </x:c>
      <x:c r="D186" t="str">
        <x:v>SKU-003</x:v>
      </x:c>
      <x:c r="E186" t="str">
        <x:v>Advanced Packaging</x:v>
      </x:c>
      <x:c r="F186" t="n">
        <x:v>391</x:v>
      </x:c>
      <x:c r="G186" t="n">
        <x:v>41</x:v>
      </x:c>
      <x:c r="H186" t="n">
        <x:v>16</x:v>
      </x:c>
      <x:c r="I186" t="n">
        <x:v>119</x:v>
      </x:c>
      <x:c r="J186" t="n">
        <x:f>ROUNDUP(G186/30*H186+I186,0)</x:f>
        <x:v>141</x:v>
      </x:c>
      <x:c r="K186" t="str">
        <x:f>IF(F186&lt;J186,"REORDER","SUFFICIENT")</x:f>
        <x:v>SUFFICIENT</x:v>
      </x:c>
    </x:row>
    <x:row r="187">
      <x:c r="A187" t="str">
        <x:v>PLT-12</x:v>
      </x:c>
      <x:c r="B187" t="str">
        <x:v>Saskatoon</x:v>
      </x:c>
      <x:c r="C187" t="n">
        <x:v>46054</x:v>
      </x:c>
      <x:c r="D187" t="str">
        <x:v>SKU-004</x:v>
      </x:c>
      <x:c r="E187" t="str">
        <x:v>Field Services</x:v>
      </x:c>
      <x:c r="F187" t="n">
        <x:v>696</x:v>
      </x:c>
      <x:c r="G187" t="n">
        <x:v>323</x:v>
      </x:c>
      <x:c r="H187" t="n">
        <x:v>28</x:v>
      </x:c>
      <x:c r="I187" t="n">
        <x:v>84</x:v>
      </x:c>
      <x:c r="J187" t="n">
        <x:f>ROUNDUP(G187/30*H187+I187,0)</x:f>
        <x:v>386</x:v>
      </x:c>
      <x:c r="K187" t="str">
        <x:f>IF(F187&lt;J187,"REORDER","SUFFICIENT")</x:f>
        <x:v>SUFFICIENT</x:v>
      </x:c>
    </x:row>
    <x:row r="188">
      <x:c r="A188" t="str">
        <x:v>PLT-12</x:v>
      </x:c>
      <x:c r="B188" t="str">
        <x:v>Saskatoon</x:v>
      </x:c>
      <x:c r="C188" t="n">
        <x:v>46082</x:v>
      </x:c>
      <x:c r="D188" t="str">
        <x:v>SKU-001</x:v>
      </x:c>
      <x:c r="E188" t="str">
        <x:v>Precision Assembly</x:v>
      </x:c>
      <x:c r="F188" t="n">
        <x:v>617</x:v>
      </x:c>
      <x:c r="G188" t="n">
        <x:v>264</x:v>
      </x:c>
      <x:c r="H188" t="n">
        <x:v>22</x:v>
      </x:c>
      <x:c r="I188" t="n">
        <x:v>82</x:v>
      </x:c>
      <x:c r="J188" t="n">
        <x:f>ROUNDUP(G188/30*H188+I188,0)</x:f>
        <x:v>276</x:v>
      </x:c>
      <x:c r="K188" t="str">
        <x:f>IF(F188&lt;J188,"REORDER","SUFFICIENT")</x:f>
        <x:v>SUFFICIENT</x:v>
      </x:c>
    </x:row>
    <x:row r="189">
      <x:c r="A189" t="str">
        <x:v>PLT-12</x:v>
      </x:c>
      <x:c r="B189" t="str">
        <x:v>Saskatoon</x:v>
      </x:c>
      <x:c r="C189" t="n">
        <x:v>46082</x:v>
      </x:c>
      <x:c r="D189" t="str">
        <x:v>SKU-002</x:v>
      </x:c>
      <x:c r="E189" t="str">
        <x:v>Industrial Components</x:v>
      </x:c>
      <x:c r="F189" t="n">
        <x:v>510</x:v>
      </x:c>
      <x:c r="G189" t="n">
        <x:v>243</x:v>
      </x:c>
      <x:c r="H189" t="n">
        <x:v>14</x:v>
      </x:c>
      <x:c r="I189" t="n">
        <x:v>115</x:v>
      </x:c>
      <x:c r="J189" t="n">
        <x:f>ROUNDUP(G189/30*H189+I189,0)</x:f>
        <x:v>229</x:v>
      </x:c>
      <x:c r="K189" t="str">
        <x:f>IF(F189&lt;J189,"REORDER","SUFFICIENT")</x:f>
        <x:v>SUFFICIENT</x:v>
      </x:c>
    </x:row>
    <x:row r="190">
      <x:c r="A190" t="str">
        <x:v>PLT-12</x:v>
      </x:c>
      <x:c r="B190" t="str">
        <x:v>Saskatoon</x:v>
      </x:c>
      <x:c r="C190" t="n">
        <x:v>46082</x:v>
      </x:c>
      <x:c r="D190" t="str">
        <x:v>SKU-003</x:v>
      </x:c>
      <x:c r="E190" t="str">
        <x:v>Advanced Packaging</x:v>
      </x:c>
      <x:c r="F190" t="n">
        <x:v>710</x:v>
      </x:c>
      <x:c r="G190" t="n">
        <x:v>316</x:v>
      </x:c>
      <x:c r="H190" t="n">
        <x:v>24</x:v>
      </x:c>
      <x:c r="I190" t="n">
        <x:v>60</x:v>
      </x:c>
      <x:c r="J190" t="n">
        <x:f>ROUNDUP(G190/30*H190+I190,0)</x:f>
        <x:v>313</x:v>
      </x:c>
      <x:c r="K190" t="str">
        <x:f>IF(F190&lt;J190,"REORDER","SUFFICIENT")</x:f>
        <x:v>SUFFICIENT</x:v>
      </x:c>
    </x:row>
    <x:row r="191">
      <x:c r="A191" t="str">
        <x:v>PLT-12</x:v>
      </x:c>
      <x:c r="B191" t="str">
        <x:v>Saskatoon</x:v>
      </x:c>
      <x:c r="C191" t="n">
        <x:v>46082</x:v>
      </x:c>
      <x:c r="D191" t="str">
        <x:v>SKU-004</x:v>
      </x:c>
      <x:c r="E191" t="str">
        <x:v>Field Services</x:v>
      </x:c>
      <x:c r="F191" t="n">
        <x:v>608</x:v>
      </x:c>
      <x:c r="G191" t="n">
        <x:v>44</x:v>
      </x:c>
      <x:c r="H191" t="n">
        <x:v>8</x:v>
      </x:c>
      <x:c r="I191" t="n">
        <x:v>105</x:v>
      </x:c>
      <x:c r="J191" t="n">
        <x:f>ROUNDUP(G191/30*H191+I191,0)</x:f>
        <x:v>117</x:v>
      </x:c>
      <x:c r="K191" t="str">
        <x:f>IF(F191&lt;J191,"REORDER","SUFFICIENT")</x:f>
        <x:v>SUFFICIENT</x:v>
      </x:c>
    </x:row>
    <x:row r="192">
      <x:c r="A192" t="str">
        <x:v>PLT-12</x:v>
      </x:c>
      <x:c r="B192" t="str">
        <x:v>Saskatoon</x:v>
      </x:c>
      <x:c r="C192" t="n">
        <x:v>46113</x:v>
      </x:c>
      <x:c r="D192" t="str">
        <x:v>SKU-001</x:v>
      </x:c>
      <x:c r="E192" t="str">
        <x:v>Precision Assembly</x:v>
      </x:c>
      <x:c r="F192" t="n">
        <x:v>196</x:v>
      </x:c>
      <x:c r="G192" t="n">
        <x:v>325</x:v>
      </x:c>
      <x:c r="H192" t="n">
        <x:v>16</x:v>
      </x:c>
      <x:c r="I192" t="n">
        <x:v>128</x:v>
      </x:c>
      <x:c r="J192" t="n">
        <x:f>ROUNDUP(G192/30*H192+I192,0)</x:f>
        <x:v>302</x:v>
      </x:c>
      <x:c r="K192" t="str">
        <x:f>IF(F192&lt;J192,"REORDER","SUFFICIENT")</x:f>
        <x:v>REORDER</x:v>
      </x:c>
    </x:row>
    <x:row r="193">
      <x:c r="A193" t="str">
        <x:v>PLT-12</x:v>
      </x:c>
      <x:c r="B193" t="str">
        <x:v>Saskatoon</x:v>
      </x:c>
      <x:c r="C193" t="n">
        <x:v>46113</x:v>
      </x:c>
      <x:c r="D193" t="str">
        <x:v>SKU-002</x:v>
      </x:c>
      <x:c r="E193" t="str">
        <x:v>Industrial Components</x:v>
      </x:c>
      <x:c r="F193" t="n">
        <x:v>629</x:v>
      </x:c>
      <x:c r="G193" t="n">
        <x:v>137</x:v>
      </x:c>
      <x:c r="H193" t="n">
        <x:v>7</x:v>
      </x:c>
      <x:c r="I193" t="n">
        <x:v>139</x:v>
      </x:c>
      <x:c r="J193" t="n">
        <x:f>ROUNDUP(G193/30*H193+I193,0)</x:f>
        <x:v>171</x:v>
      </x:c>
      <x:c r="K193" t="str">
        <x:f>IF(F193&lt;J193,"REORDER","SUFFICIENT")</x:f>
        <x:v>SUFFICIENT</x:v>
      </x:c>
    </x:row>
    <x:row r="194">
      <x:c r="A194" t="str">
        <x:v>PLT-12</x:v>
      </x:c>
      <x:c r="B194" t="str">
        <x:v>Saskatoon</x:v>
      </x:c>
      <x:c r="C194" t="n">
        <x:v>46113</x:v>
      </x:c>
      <x:c r="D194" t="str">
        <x:v>SKU-003</x:v>
      </x:c>
      <x:c r="E194" t="str">
        <x:v>Advanced Packaging</x:v>
      </x:c>
      <x:c r="F194" t="n">
        <x:v>251</x:v>
      </x:c>
      <x:c r="G194" t="n">
        <x:v>49</x:v>
      </x:c>
      <x:c r="H194" t="n">
        <x:v>22</x:v>
      </x:c>
      <x:c r="I194" t="n">
        <x:v>166</x:v>
      </x:c>
      <x:c r="J194" t="n">
        <x:f>ROUNDUP(G194/30*H194+I194,0)</x:f>
        <x:v>202</x:v>
      </x:c>
      <x:c r="K194" t="str">
        <x:f>IF(F194&lt;J194,"REORDER","SUFFICIENT")</x:f>
        <x:v>SUFFICIENT</x:v>
      </x:c>
    </x:row>
    <x:row r="195">
      <x:c r="A195" t="str">
        <x:v>PLT-12</x:v>
      </x:c>
      <x:c r="B195" t="str">
        <x:v>Saskatoon</x:v>
      </x:c>
      <x:c r="C195" t="n">
        <x:v>46113</x:v>
      </x:c>
      <x:c r="D195" t="str">
        <x:v>SKU-004</x:v>
      </x:c>
      <x:c r="E195" t="str">
        <x:v>Field Services</x:v>
      </x:c>
      <x:c r="F195" t="n">
        <x:v>518</x:v>
      </x:c>
      <x:c r="G195" t="n">
        <x:v>303</x:v>
      </x:c>
      <x:c r="H195" t="n">
        <x:v>7</x:v>
      </x:c>
      <x:c r="I195" t="n">
        <x:v>182</x:v>
      </x:c>
      <x:c r="J195" t="n">
        <x:f>ROUNDUP(G195/30*H195+I195,0)</x:f>
        <x:v>253</x:v>
      </x:c>
      <x:c r="K195" t="str">
        <x:f>IF(F195&lt;J195,"REORDER","SUFFICIENT")</x:f>
        <x:v>SUFFICIENT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6" customHeight="1">
      <x:c r="A1" s="97" t="str">
        <x:v>SCENARIO ENGINE | Editable executive assumptions</x:v>
      </x:c>
      <x:c r="B1" s="97"/>
      <x:c r="C1" s="97"/>
      <x:c r="D1" s="97"/>
      <x:c r="E1" s="97"/>
    </x:row>
    <x:row r="2">
      <x:c r="B2" t="str">
        <x:v>Base case</x:v>
      </x:c>
      <x:c r="C2" t="str">
        <x:v>Downside</x:v>
      </x:c>
      <x:c r="D2" t="str">
        <x:v>Upside</x:v>
      </x:c>
    </x:row>
    <x:row r="3" ht="26" customHeight="1">
      <x:c r="A3" s="99" t="str">
        <x:v>Parameter</x:v>
      </x:c>
      <x:c r="B3" s="99" t="str">
        <x:v>Base case</x:v>
      </x:c>
      <x:c r="C3" s="99" t="str">
        <x:v>Downside</x:v>
      </x:c>
      <x:c r="D3" s="99" t="str">
        <x:v>Upside</x:v>
      </x:c>
      <x:c r="E3" s="99" t="str">
        <x:v>Selected scenario</x:v>
      </x:c>
    </x:row>
    <x:row r="4">
      <x:c r="A4" t="str">
        <x:v>Revenue change</x:v>
      </x:c>
      <x:c r="B4" s="20" t="n">
        <x:v>0</x:v>
      </x:c>
      <x:c r="C4" s="20" t="n">
        <x:v>-0.12</x:v>
      </x:c>
      <x:c r="D4" s="20" t="n">
        <x:v>0.1</x:v>
      </x:c>
      <x:c r="E4" t="str">
        <x:v>Base case</x:v>
      </x:c>
    </x:row>
    <x:row r="5">
      <x:c r="A5" t="str">
        <x:v>Material cost change</x:v>
      </x:c>
      <x:c r="B5" s="20" t="n">
        <x:v>0</x:v>
      </x:c>
      <x:c r="C5" s="20" t="n">
        <x:v>0.09</x:v>
      </x:c>
      <x:c r="D5" s="20" t="n">
        <x:v>-0.04</x:v>
      </x:c>
      <x:c r="E5" t="str">
        <x:v>Base case</x:v>
      </x:c>
    </x:row>
    <x:row r="6">
      <x:c r="A6" t="str">
        <x:v>Labor cost change</x:v>
      </x:c>
      <x:c r="B6" s="20" t="n">
        <x:v>0</x:v>
      </x:c>
      <x:c r="C6" s="20" t="n">
        <x:v>0.07</x:v>
      </x:c>
      <x:c r="D6" s="20" t="n">
        <x:v>-0.02</x:v>
      </x:c>
      <x:c r="E6" t="str">
        <x:v>Base case</x:v>
      </x:c>
    </x:row>
    <x:row r="7">
      <x:c r="A7" t="str">
        <x:v>Overhead change</x:v>
      </x:c>
      <x:c r="B7" s="20" t="n">
        <x:v>0</x:v>
      </x:c>
      <x:c r="C7" s="20" t="n">
        <x:v>0.04</x:v>
      </x:c>
      <x:c r="D7" s="20" t="n">
        <x:v>-0.03</x:v>
      </x:c>
      <x:c r="E7" t="str">
        <x:v>Base case</x:v>
      </x:c>
    </x:row>
    <x:row r="10">
      <x:c r="A10" t="str">
        <x:v>MODELED ANNUAL P&amp;L</x:v>
      </x:c>
      <x:c r="B10" t="str">
        <x:v>CAD</x:v>
      </x:c>
    </x:row>
    <x:row r="11">
      <x:c r="A11" t="str">
        <x:v>Revenue</x:v>
      </x:c>
      <x:c r="B11" s="22" t="n">
        <x:f>SUM('FINANCE DATA'!D4:D51)*(1+INDEX(B4:D4,1,MATCH(E4,$B$3:$D$3,0)))</x:f>
        <x:v>32665304</x:v>
      </x:c>
    </x:row>
    <x:row r="12">
      <x:c r="A12" t="str">
        <x:v>Materials</x:v>
      </x:c>
      <x:c r="B12" s="22" t="n">
        <x:f>SUM('FINANCE DATA'!E4:E51)*(1+INDEX(B5:D5,1,MATCH(E5,$B$3:$D$3,0)))</x:f>
        <x:v>12186409</x:v>
      </x:c>
    </x:row>
    <x:row r="13">
      <x:c r="A13" t="str">
        <x:v>Labor</x:v>
      </x:c>
      <x:c r="B13" s="22" t="n">
        <x:f>SUM('FINANCE DATA'!F4:F51)*(1+INDEX(B6:D6,1,MATCH(E6,$B$3:$D$3,0)))</x:f>
        <x:v>7646970</x:v>
      </x:c>
    </x:row>
    <x:row r="14">
      <x:c r="A14" t="str">
        <x:v>Overhead</x:v>
      </x:c>
      <x:c r="B14" s="22" t="n">
        <x:f>SUM('FINANCE DATA'!G4:G51)*(1+INDEX(B7:D7,1,MATCH(E7,$B$3:$D$3,0)))</x:f>
        <x:v>5255433</x:v>
      </x:c>
    </x:row>
    <x:row r="15">
      <x:c r="A15" t="str">
        <x:v>Modeled operating profit</x:v>
      </x:c>
      <x:c r="B15" s="22" t="n">
        <x:f>B11-SUM(B12:B14)</x:f>
        <x:v>7576492</x:v>
      </x:c>
    </x:row>
    <x:row r="16">
      <x:c r="A16" t="str">
        <x:v>Modeled margin</x:v>
      </x:c>
      <x:c r="B16" s="20" t="n">
        <x:f>IFERROR(B15/B11,0)</x:f>
        <x:v>0.23194310391233464</x:v>
      </x:c>
    </x:row>
  </x:sheetData>
  <x:dataValidations count="1">
    <x:dataValidation type="list" sqref="E4:E7">
      <x:formula1>"Base case,Downside,Upside"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36" customHeight="1">
      <x:c r="A1" s="97" t="str">
        <x:v>ISSUE REGISTER | Governed operational exceptions</x:v>
      </x:c>
      <x:c r="B1" s="97"/>
      <x:c r="C1" s="97"/>
      <x:c r="D1" s="97"/>
      <x:c r="E1" s="97"/>
      <x:c r="F1" s="97"/>
      <x:c r="G1" s="97"/>
      <x:c r="H1" s="97"/>
      <x:c r="I1" s="97"/>
      <x:c r="J1" s="97"/>
    </x:row>
    <x:row r="3" ht="26" customHeight="1">
      <x:c r="A3" s="99" t="str">
        <x:v>Issue ID</x:v>
      </x:c>
      <x:c r="B3" s="99" t="str">
        <x:v>Facility</x:v>
      </x:c>
      <x:c r="C3" s="99" t="str">
        <x:v>Category</x:v>
      </x:c>
      <x:c r="D3" s="99" t="str">
        <x:v>Status</x:v>
      </x:c>
      <x:c r="E3" s="99" t="str">
        <x:v>Impact 1–5</x:v>
      </x:c>
      <x:c r="F3" s="99" t="str">
        <x:v>Likelihood 1–5</x:v>
      </x:c>
      <x:c r="G3" s="99" t="str">
        <x:v>Risk score</x:v>
      </x:c>
      <x:c r="H3" s="99" t="str">
        <x:v>Owner</x:v>
      </x:c>
      <x:c r="I3" s="99" t="str">
        <x:v>Target date</x:v>
      </x:c>
      <x:c r="J3" s="99" t="str">
        <x:v>Mitigation action</x:v>
      </x:c>
    </x:row>
    <x:row r="4">
      <x:c r="A4" t="str">
        <x:v>ISS-001</x:v>
      </x:c>
      <x:c r="B4" t="str">
        <x:v>London</x:v>
      </x:c>
      <x:c r="C4" t="str">
        <x:v>Supply</x:v>
      </x:c>
      <x:c r="D4" t="str">
        <x:v>Mitigating</x:v>
      </x:c>
      <x:c r="E4" t="n">
        <x:v>1</x:v>
      </x:c>
      <x:c r="F4" t="n">
        <x:v>4</x:v>
      </x:c>
      <x:c r="G4" t="n">
        <x:f>E4*F4</x:f>
        <x:v>4</x:v>
      </x:c>
      <x:c r="H4" t="str">
        <x:v>Operations Director</x:v>
      </x:c>
      <x:c r="I4" t="str">
        <x:v>2026-02-15</x:v>
      </x:c>
      <x:c r="J4" t="str">
        <x:v>Supplier contingency</x:v>
      </x:c>
    </x:row>
    <x:row r="5">
      <x:c r="A5" t="str">
        <x:v>ISS-002</x:v>
      </x:c>
      <x:c r="B5" t="str">
        <x:v>Halifax</x:v>
      </x:c>
      <x:c r="C5" t="str">
        <x:v>Workforce</x:v>
      </x:c>
      <x:c r="D5" t="str">
        <x:v>Closed</x:v>
      </x:c>
      <x:c r="E5" t="n">
        <x:v>2</x:v>
      </x:c>
      <x:c r="F5" t="n">
        <x:v>1</x:v>
      </x:c>
      <x:c r="G5" t="n">
        <x:f>E5*F5</x:f>
        <x:v>2</x:v>
      </x:c>
      <x:c r="H5" t="str">
        <x:v>Plant Manager</x:v>
      </x:c>
      <x:c r="I5" t="str">
        <x:v>2026-03-15</x:v>
      </x:c>
      <x:c r="J5" t="str">
        <x:v>Cross-train operators</x:v>
      </x:c>
    </x:row>
    <x:row r="6">
      <x:c r="A6" t="str">
        <x:v>ISS-003</x:v>
      </x:c>
      <x:c r="B6" t="str">
        <x:v>Ottawa</x:v>
      </x:c>
      <x:c r="C6" t="str">
        <x:v>Capacity</x:v>
      </x:c>
      <x:c r="D6" t="str">
        <x:v>Closed</x:v>
      </x:c>
      <x:c r="E6" t="n">
        <x:v>3</x:v>
      </x:c>
      <x:c r="F6" t="n">
        <x:v>4</x:v>
      </x:c>
      <x:c r="G6" t="n">
        <x:f>E6*F6</x:f>
        <x:v>12</x:v>
      </x:c>
      <x:c r="H6" t="str">
        <x:v>Finance Lead</x:v>
      </x:c>
      <x:c r="I6" t="str">
        <x:v>2026-04-15</x:v>
      </x:c>
      <x:c r="J6" t="str">
        <x:v>Escalate to steering committee</x:v>
      </x:c>
    </x:row>
    <x:row r="7">
      <x:c r="A7" t="str">
        <x:v>ISS-004</x:v>
      </x:c>
      <x:c r="B7" t="str">
        <x:v>Edmonton</x:v>
      </x:c>
      <x:c r="C7" t="str">
        <x:v>Workforce</x:v>
      </x:c>
      <x:c r="D7" t="str">
        <x:v>Mitigating</x:v>
      </x:c>
      <x:c r="E7" t="n">
        <x:v>1</x:v>
      </x:c>
      <x:c r="F7" t="n">
        <x:v>1</x:v>
      </x:c>
      <x:c r="G7" t="n">
        <x:f>E7*F7</x:f>
        <x:v>1</x:v>
      </x:c>
      <x:c r="H7" t="str">
        <x:v>Plant Manager</x:v>
      </x:c>
      <x:c r="I7" t="str">
        <x:v>2026-05-15</x:v>
      </x:c>
      <x:c r="J7" t="str">
        <x:v>Escalate to steering committee</x:v>
      </x:c>
    </x:row>
    <x:row r="8">
      <x:c r="A8" t="str">
        <x:v>ISS-005</x:v>
      </x:c>
      <x:c r="B8" t="str">
        <x:v>Québec City</x:v>
      </x:c>
      <x:c r="C8" t="str">
        <x:v>Quality</x:v>
      </x:c>
      <x:c r="D8" t="str">
        <x:v>Closed</x:v>
      </x:c>
      <x:c r="E8" t="n">
        <x:v>3</x:v>
      </x:c>
      <x:c r="F8" t="n">
        <x:v>2</x:v>
      </x:c>
      <x:c r="G8" t="n">
        <x:f>E8*F8</x:f>
        <x:v>6</x:v>
      </x:c>
      <x:c r="H8" t="str">
        <x:v>Finance Lead</x:v>
      </x:c>
      <x:c r="I8" t="str">
        <x:v>2026-06-15</x:v>
      </x:c>
      <x:c r="J8" t="str">
        <x:v>Preventive maintenance</x:v>
      </x:c>
    </x:row>
    <x:row r="9">
      <x:c r="A9" t="str">
        <x:v>ISS-006</x:v>
      </x:c>
      <x:c r="B9" t="str">
        <x:v>Winnipeg</x:v>
      </x:c>
      <x:c r="C9" t="str">
        <x:v>Cyber</x:v>
      </x:c>
      <x:c r="D9" t="str">
        <x:v>Mitigating</x:v>
      </x:c>
      <x:c r="E9" t="n">
        <x:v>3</x:v>
      </x:c>
      <x:c r="F9" t="n">
        <x:v>5</x:v>
      </x:c>
      <x:c r="G9" t="n">
        <x:f>E9*F9</x:f>
        <x:v>15</x:v>
      </x:c>
      <x:c r="H9" t="str">
        <x:v>Operations Director</x:v>
      </x:c>
      <x:c r="I9" t="str">
        <x:v>2026-07-15</x:v>
      </x:c>
      <x:c r="J9" t="str">
        <x:v>Preventive maintenance</x:v>
      </x:c>
    </x:row>
    <x:row r="10">
      <x:c r="A10" t="str">
        <x:v>ISS-007</x:v>
      </x:c>
      <x:c r="B10" t="str">
        <x:v>Saskatoon</x:v>
      </x:c>
      <x:c r="C10" t="str">
        <x:v>Safety</x:v>
      </x:c>
      <x:c r="D10" t="str">
        <x:v>Closed</x:v>
      </x:c>
      <x:c r="E10" t="n">
        <x:v>1</x:v>
      </x:c>
      <x:c r="F10" t="n">
        <x:v>3</x:v>
      </x:c>
      <x:c r="G10" t="n">
        <x:f>E10*F10</x:f>
        <x:v>3</x:v>
      </x:c>
      <x:c r="H10" t="str">
        <x:v>Operations Director</x:v>
      </x:c>
      <x:c r="I10" t="str">
        <x:v>2026-08-15</x:v>
      </x:c>
      <x:c r="J10" t="str">
        <x:v>Escalate to steering committee</x:v>
      </x:c>
    </x:row>
    <x:row r="11">
      <x:c r="A11" t="str">
        <x:v>ISS-008</x:v>
      </x:c>
      <x:c r="B11" t="str">
        <x:v>Hamilton</x:v>
      </x:c>
      <x:c r="C11" t="str">
        <x:v>Capacity</x:v>
      </x:c>
      <x:c r="D11" t="str">
        <x:v>Closed</x:v>
      </x:c>
      <x:c r="E11" t="n">
        <x:v>1</x:v>
      </x:c>
      <x:c r="F11" t="n">
        <x:v>2</x:v>
      </x:c>
      <x:c r="G11" t="n">
        <x:f>E11*F11</x:f>
        <x:v>2</x:v>
      </x:c>
      <x:c r="H11" t="str">
        <x:v>Operations Director</x:v>
      </x:c>
      <x:c r="I11" t="str">
        <x:v>2026-09-15</x:v>
      </x:c>
      <x:c r="J11" t="str">
        <x:v>Supplier contingency</x:v>
      </x:c>
    </x:row>
    <x:row r="12">
      <x:c r="A12" t="str">
        <x:v>ISS-009</x:v>
      </x:c>
      <x:c r="B12" t="str">
        <x:v>Vancouver</x:v>
      </x:c>
      <x:c r="C12" t="str">
        <x:v>Quality</x:v>
      </x:c>
      <x:c r="D12" t="str">
        <x:v>Mitigating</x:v>
      </x:c>
      <x:c r="E12" t="n">
        <x:v>1</x:v>
      </x:c>
      <x:c r="F12" t="n">
        <x:v>4</x:v>
      </x:c>
      <x:c r="G12" t="n">
        <x:f>E12*F12</x:f>
        <x:v>4</x:v>
      </x:c>
      <x:c r="H12" t="str">
        <x:v>HR Lead</x:v>
      </x:c>
      <x:c r="I12" t="str">
        <x:v>2026-10-15</x:v>
      </x:c>
      <x:c r="J12" t="str">
        <x:v>Cross-train operators</x:v>
      </x:c>
    </x:row>
    <x:row r="13">
      <x:c r="A13" t="str">
        <x:v>ISS-010</x:v>
      </x:c>
      <x:c r="B13" t="str">
        <x:v>Toronto</x:v>
      </x:c>
      <x:c r="C13" t="str">
        <x:v>Safety</x:v>
      </x:c>
      <x:c r="D13" t="str">
        <x:v>Open</x:v>
      </x:c>
      <x:c r="E13" t="n">
        <x:v>2</x:v>
      </x:c>
      <x:c r="F13" t="n">
        <x:v>4</x:v>
      </x:c>
      <x:c r="G13" t="n">
        <x:f>E13*F13</x:f>
        <x:v>8</x:v>
      </x:c>
      <x:c r="H13" t="str">
        <x:v>Operations Director</x:v>
      </x:c>
      <x:c r="I13" t="str">
        <x:v>2026-11-15</x:v>
      </x:c>
      <x:c r="J13" t="str">
        <x:v>Supplier contingency</x:v>
      </x:c>
    </x:row>
    <x:row r="14">
      <x:c r="A14" t="str">
        <x:v>ISS-011</x:v>
      </x:c>
      <x:c r="B14" t="str">
        <x:v>Calgary</x:v>
      </x:c>
      <x:c r="C14" t="str">
        <x:v>Capacity</x:v>
      </x:c>
      <x:c r="D14" t="str">
        <x:v>Open</x:v>
      </x:c>
      <x:c r="E14" t="n">
        <x:v>3</x:v>
      </x:c>
      <x:c r="F14" t="n">
        <x:v>4</x:v>
      </x:c>
      <x:c r="G14" t="n">
        <x:f>E14*F14</x:f>
        <x:v>12</x:v>
      </x:c>
      <x:c r="H14" t="str">
        <x:v>Finance Lead</x:v>
      </x:c>
      <x:c r="I14" t="str">
        <x:v>2026-12-15</x:v>
      </x:c>
      <x:c r="J14" t="str">
        <x:v>Supplier contingency</x:v>
      </x:c>
    </x:row>
    <x:row r="15">
      <x:c r="A15" t="str">
        <x:v>ISS-012</x:v>
      </x:c>
      <x:c r="B15" t="str">
        <x:v>Montréal</x:v>
      </x:c>
      <x:c r="C15" t="str">
        <x:v>Cyber</x:v>
      </x:c>
      <x:c r="D15" t="str">
        <x:v>Open</x:v>
      </x:c>
      <x:c r="E15" t="n">
        <x:v>2</x:v>
      </x:c>
      <x:c r="F15" t="n">
        <x:v>2</x:v>
      </x:c>
      <x:c r="G15" t="n">
        <x:f>E15*F15</x:f>
        <x:v>4</x:v>
      </x:c>
      <x:c r="H15" t="str">
        <x:v>HR Lead</x:v>
      </x:c>
      <x:c r="I15" t="str">
        <x:v>2026-01-15</x:v>
      </x:c>
      <x:c r="J15" t="str">
        <x:v>Supplier contingency</x:v>
      </x:c>
    </x:row>
    <x:row r="16">
      <x:c r="A16" t="str">
        <x:v>ISS-013</x:v>
      </x:c>
      <x:c r="B16" t="str">
        <x:v>London</x:v>
      </x:c>
      <x:c r="C16" t="str">
        <x:v>Quality</x:v>
      </x:c>
      <x:c r="D16" t="str">
        <x:v>Mitigating</x:v>
      </x:c>
      <x:c r="E16" t="n">
        <x:v>1</x:v>
      </x:c>
      <x:c r="F16" t="n">
        <x:v>3</x:v>
      </x:c>
      <x:c r="G16" t="n">
        <x:f>E16*F16</x:f>
        <x:v>3</x:v>
      </x:c>
      <x:c r="H16" t="str">
        <x:v>Finance Lead</x:v>
      </x:c>
      <x:c r="I16" t="str">
        <x:v>2026-02-15</x:v>
      </x:c>
      <x:c r="J16" t="str">
        <x:v>Preventive maintenance</x:v>
      </x:c>
    </x:row>
    <x:row r="17">
      <x:c r="A17" t="str">
        <x:v>ISS-014</x:v>
      </x:c>
      <x:c r="B17" t="str">
        <x:v>Halifax</x:v>
      </x:c>
      <x:c r="C17" t="str">
        <x:v>Quality</x:v>
      </x:c>
      <x:c r="D17" t="str">
        <x:v>Open</x:v>
      </x:c>
      <x:c r="E17" t="n">
        <x:v>1</x:v>
      </x:c>
      <x:c r="F17" t="n">
        <x:v>2</x:v>
      </x:c>
      <x:c r="G17" t="n">
        <x:f>E17*F17</x:f>
        <x:v>2</x:v>
      </x:c>
      <x:c r="H17" t="str">
        <x:v>HR Lead</x:v>
      </x:c>
      <x:c r="I17" t="str">
        <x:v>2026-03-15</x:v>
      </x:c>
      <x:c r="J17" t="str">
        <x:v>Escalate to steering committee</x:v>
      </x:c>
    </x:row>
    <x:row r="18">
      <x:c r="A18" t="str">
        <x:v>ISS-015</x:v>
      </x:c>
      <x:c r="B18" t="str">
        <x:v>Ottawa</x:v>
      </x:c>
      <x:c r="C18" t="str">
        <x:v>Supply</x:v>
      </x:c>
      <x:c r="D18" t="str">
        <x:v>Open</x:v>
      </x:c>
      <x:c r="E18" t="n">
        <x:v>1</x:v>
      </x:c>
      <x:c r="F18" t="n">
        <x:v>1</x:v>
      </x:c>
      <x:c r="G18" t="n">
        <x:f>E18*F18</x:f>
        <x:v>1</x:v>
      </x:c>
      <x:c r="H18" t="str">
        <x:v>HR Lead</x:v>
      </x:c>
      <x:c r="I18" t="str">
        <x:v>2026-04-15</x:v>
      </x:c>
      <x:c r="J18" t="str">
        <x:v>Escalate to steering committee</x:v>
      </x:c>
    </x:row>
    <x:row r="19">
      <x:c r="A19" t="str">
        <x:v>ISS-016</x:v>
      </x:c>
      <x:c r="B19" t="str">
        <x:v>Edmonton</x:v>
      </x:c>
      <x:c r="C19" t="str">
        <x:v>Supply</x:v>
      </x:c>
      <x:c r="D19" t="str">
        <x:v>Closed</x:v>
      </x:c>
      <x:c r="E19" t="n">
        <x:v>3</x:v>
      </x:c>
      <x:c r="F19" t="n">
        <x:v>2</x:v>
      </x:c>
      <x:c r="G19" t="n">
        <x:f>E19*F19</x:f>
        <x:v>6</x:v>
      </x:c>
      <x:c r="H19" t="str">
        <x:v>Operations Director</x:v>
      </x:c>
      <x:c r="I19" t="str">
        <x:v>2026-05-15</x:v>
      </x:c>
      <x:c r="J19" t="str">
        <x:v>Supplier contingency</x:v>
      </x:c>
    </x:row>
    <x:row r="20">
      <x:c r="A20" t="str">
        <x:v>ISS-017</x:v>
      </x:c>
      <x:c r="B20" t="str">
        <x:v>Québec City</x:v>
      </x:c>
      <x:c r="C20" t="str">
        <x:v>Supply</x:v>
      </x:c>
      <x:c r="D20" t="str">
        <x:v>Mitigating</x:v>
      </x:c>
      <x:c r="E20" t="n">
        <x:v>3</x:v>
      </x:c>
      <x:c r="F20" t="n">
        <x:v>1</x:v>
      </x:c>
      <x:c r="G20" t="n">
        <x:f>E20*F20</x:f>
        <x:v>3</x:v>
      </x:c>
      <x:c r="H20" t="str">
        <x:v>Finance Lead</x:v>
      </x:c>
      <x:c r="I20" t="str">
        <x:v>2026-06-15</x:v>
      </x:c>
      <x:c r="J20" t="str">
        <x:v>Preventive maintenance</x:v>
      </x:c>
    </x:row>
    <x:row r="21">
      <x:c r="A21" t="str">
        <x:v>ISS-018</x:v>
      </x:c>
      <x:c r="B21" t="str">
        <x:v>Winnipeg</x:v>
      </x:c>
      <x:c r="C21" t="str">
        <x:v>Safety</x:v>
      </x:c>
      <x:c r="D21" t="str">
        <x:v>Closed</x:v>
      </x:c>
      <x:c r="E21" t="n">
        <x:v>1</x:v>
      </x:c>
      <x:c r="F21" t="n">
        <x:v>3</x:v>
      </x:c>
      <x:c r="G21" t="n">
        <x:f>E21*F21</x:f>
        <x:v>3</x:v>
      </x:c>
      <x:c r="H21" t="str">
        <x:v>Operations Director</x:v>
      </x:c>
      <x:c r="I21" t="str">
        <x:v>2026-07-15</x:v>
      </x:c>
      <x:c r="J21" t="str">
        <x:v>Preventive maintenance</x:v>
      </x:c>
    </x:row>
    <x:row r="22">
      <x:c r="A22" t="str">
        <x:v>ISS-019</x:v>
      </x:c>
      <x:c r="B22" t="str">
        <x:v>Saskatoon</x:v>
      </x:c>
      <x:c r="C22" t="str">
        <x:v>Cyber</x:v>
      </x:c>
      <x:c r="D22" t="str">
        <x:v>Open</x:v>
      </x:c>
      <x:c r="E22" t="n">
        <x:v>5</x:v>
      </x:c>
      <x:c r="F22" t="n">
        <x:v>5</x:v>
      </x:c>
      <x:c r="G22" t="n">
        <x:f>E22*F22</x:f>
        <x:v>25</x:v>
      </x:c>
      <x:c r="H22" t="str">
        <x:v>Finance Lead</x:v>
      </x:c>
      <x:c r="I22" t="str">
        <x:v>2026-08-15</x:v>
      </x:c>
      <x:c r="J22" t="str">
        <x:v>Preventive maintenance</x:v>
      </x:c>
    </x:row>
    <x:row r="23">
      <x:c r="A23" t="str">
        <x:v>ISS-020</x:v>
      </x:c>
      <x:c r="B23" t="str">
        <x:v>Hamilton</x:v>
      </x:c>
      <x:c r="C23" t="str">
        <x:v>Safety</x:v>
      </x:c>
      <x:c r="D23" t="str">
        <x:v>Open</x:v>
      </x:c>
      <x:c r="E23" t="n">
        <x:v>2</x:v>
      </x:c>
      <x:c r="F23" t="n">
        <x:v>3</x:v>
      </x:c>
      <x:c r="G23" t="n">
        <x:f>E23*F23</x:f>
        <x:v>6</x:v>
      </x:c>
      <x:c r="H23" t="str">
        <x:v>Operations Director</x:v>
      </x:c>
      <x:c r="I23" t="str">
        <x:v>2026-09-15</x:v>
      </x:c>
      <x:c r="J23" t="str">
        <x:v>Supplier contingency</x:v>
      </x:c>
    </x:row>
    <x:row r="24">
      <x:c r="A24" t="str">
        <x:v>ISS-021</x:v>
      </x:c>
      <x:c r="B24" t="str">
        <x:v>Vancouver</x:v>
      </x:c>
      <x:c r="C24" t="str">
        <x:v>Cyber</x:v>
      </x:c>
      <x:c r="D24" t="str">
        <x:v>Closed</x:v>
      </x:c>
      <x:c r="E24" t="n">
        <x:v>3</x:v>
      </x:c>
      <x:c r="F24" t="n">
        <x:v>5</x:v>
      </x:c>
      <x:c r="G24" t="n">
        <x:f>E24*F24</x:f>
        <x:v>15</x:v>
      </x:c>
      <x:c r="H24" t="str">
        <x:v>Plant Manager</x:v>
      </x:c>
      <x:c r="I24" t="str">
        <x:v>2026-10-15</x:v>
      </x:c>
      <x:c r="J24" t="str">
        <x:v>Preventive maintenance</x:v>
      </x:c>
    </x:row>
    <x:row r="25">
      <x:c r="A25" t="str">
        <x:v>ISS-022</x:v>
      </x:c>
      <x:c r="B25" t="str">
        <x:v>Toronto</x:v>
      </x:c>
      <x:c r="C25" t="str">
        <x:v>Safety</x:v>
      </x:c>
      <x:c r="D25" t="str">
        <x:v>Mitigating</x:v>
      </x:c>
      <x:c r="E25" t="n">
        <x:v>4</x:v>
      </x:c>
      <x:c r="F25" t="n">
        <x:v>2</x:v>
      </x:c>
      <x:c r="G25" t="n">
        <x:f>E25*F25</x:f>
        <x:v>8</x:v>
      </x:c>
      <x:c r="H25" t="str">
        <x:v>Operations Director</x:v>
      </x:c>
      <x:c r="I25" t="str">
        <x:v>2026-11-15</x:v>
      </x:c>
      <x:c r="J25" t="str">
        <x:v>Cross-train operators</x:v>
      </x:c>
    </x:row>
    <x:row r="26">
      <x:c r="A26" t="str">
        <x:v>ISS-023</x:v>
      </x:c>
      <x:c r="B26" t="str">
        <x:v>Calgary</x:v>
      </x:c>
      <x:c r="C26" t="str">
        <x:v>Quality</x:v>
      </x:c>
      <x:c r="D26" t="str">
        <x:v>Open</x:v>
      </x:c>
      <x:c r="E26" t="n">
        <x:v>2</x:v>
      </x:c>
      <x:c r="F26" t="n">
        <x:v>4</x:v>
      </x:c>
      <x:c r="G26" t="n">
        <x:f>E26*F26</x:f>
        <x:v>8</x:v>
      </x:c>
      <x:c r="H26" t="str">
        <x:v>Finance Lead</x:v>
      </x:c>
      <x:c r="I26" t="str">
        <x:v>2026-12-15</x:v>
      </x:c>
      <x:c r="J26" t="str">
        <x:v>Escalate to steering committee</x:v>
      </x:c>
    </x:row>
    <x:row r="27">
      <x:c r="A27" t="str">
        <x:v>ISS-024</x:v>
      </x:c>
      <x:c r="B27" t="str">
        <x:v>Montréal</x:v>
      </x:c>
      <x:c r="C27" t="str">
        <x:v>Cyber</x:v>
      </x:c>
      <x:c r="D27" t="str">
        <x:v>Mitigating</x:v>
      </x:c>
      <x:c r="E27" t="n">
        <x:v>2</x:v>
      </x:c>
      <x:c r="F27" t="n">
        <x:v>3</x:v>
      </x:c>
      <x:c r="G27" t="n">
        <x:f>E27*F27</x:f>
        <x:v>6</x:v>
      </x:c>
      <x:c r="H27" t="str">
        <x:v>Plant Manager</x:v>
      </x:c>
      <x:c r="I27" t="str">
        <x:v>2026-01-15</x:v>
      </x:c>
      <x:c r="J27" t="str">
        <x:v>Escalate to steering committee</x:v>
      </x:c>
    </x:row>
  </x:sheetData>
  <x:conditionalFormatting sqref="G4:G27">
    <x:cfRule type="colorScale" priority="1">
      <x:colorScale>
        <x:cfvo type="min"/>
        <x:cfvo type="percentile" val="50"/>
        <x:cfvo type="max"/>
        <x:color rgb="FFDCF4EA"/>
        <x:color rgb="FFFFF3D7"/>
        <x:color rgb="FFFDE8E7"/>
      </x:colorScale>
    </x:cfRule>
  </x:conditionalFormatting>
  <x:dataValidations count="1">
    <x:dataValidation type="list" sqref="D4:D27">
      <x:formula1>"Open,Mitigating,Closed"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 ht="36" customHeight="1">
      <x:c r="A1" s="97" t="str">
        <x:v>VECTRA | Enterprise decision cockpit</x:v>
      </x:c>
      <x:c r="B1" s="97"/>
      <x:c r="C1" s="97"/>
      <x:c r="D1" s="97"/>
    </x:row>
    <x:row r="3" ht="26" customHeight="1">
      <x:c r="A3" s="99" t="str">
        <x:v>Metric</x:v>
      </x:c>
      <x:c r="B3" s="99" t="str">
        <x:v>Actual / current</x:v>
      </x:c>
      <x:c r="C3" s="99" t="str">
        <x:v>Target</x:v>
      </x:c>
      <x:c r="D3" s="99" t="str">
        <x:v>Interpretation</x:v>
      </x:c>
      <x:c r="F3" t="str">
        <x:v>Performance measure</x:v>
      </x:c>
      <x:c r="G3" t="str">
        <x:v>Target</x:v>
      </x:c>
      <x:c r="H3" t="str">
        <x:v>Actual</x:v>
      </x:c>
    </x:row>
    <x:row r="4">
      <x:c r="A4" t="str">
        <x:v>Annual revenue</x:v>
      </x:c>
      <x:c r="B4" s="100" t="n">
        <x:f>SUM('FINANCE DATA'!D4:D51)</x:f>
        <x:v>32665304</x:v>
      </x:c>
      <x:c r="C4"/>
      <x:c r="D4" t="str">
        <x:v>Sum of all plant monthly sales</x:v>
      </x:c>
      <x:c r="F4" t="str">
        <x:v>Operating margin</x:v>
      </x:c>
      <x:c r="G4" s="20" t="n">
        <x:v>0.2</x:v>
      </x:c>
      <x:c r="H4" s="20" t="n">
        <x:f>B6</x:f>
        <x:v>0.23194310391233464</x:v>
      </x:c>
    </x:row>
    <x:row r="5">
      <x:c r="A5" t="str">
        <x:v>Annual operating profit</x:v>
      </x:c>
      <x:c r="B5" s="100" t="n">
        <x:f>SUM('FINANCE DATA'!H4:H51)</x:f>
        <x:v>7576492</x:v>
      </x:c>
      <x:c r="C5"/>
      <x:c r="D5" t="str">
        <x:v>Before interest and tax</x:v>
      </x:c>
      <x:c r="F5" t="str">
        <x:v>On-time delivery</x:v>
      </x:c>
      <x:c r="G5" s="20" t="n">
        <x:v>0.95</x:v>
      </x:c>
      <x:c r="H5" s="20" t="n">
        <x:f>B7</x:f>
        <x:v>0.8758995682072606</x:v>
      </x:c>
    </x:row>
    <x:row r="6">
      <x:c r="A6" t="str">
        <x:v>Operating margin</x:v>
      </x:c>
      <x:c r="B6" s="20" t="n">
        <x:f>IFERROR(B5/B4,0)</x:f>
        <x:v>0.23194310391233464</x:v>
      </x:c>
      <x:c r="C6" s="20" t="n">
        <x:v>0.2</x:v>
      </x:c>
      <x:c r="D6" t="str">
        <x:v>Higher is better</x:v>
      </x:c>
      <x:c r="F6" t="str">
        <x:v>Production yield</x:v>
      </x:c>
      <x:c r="G6" s="20" t="n">
        <x:v>0.97</x:v>
      </x:c>
      <x:c r="H6" s="20" t="n">
        <x:f>B8</x:f>
        <x:v>0.9666996373227827</x:v>
      </x:c>
    </x:row>
    <x:row r="7">
      <x:c r="A7" t="str">
        <x:v>Network on-time delivery</x:v>
      </x:c>
      <x:c r="B7" s="20" t="n">
        <x:f>IFERROR(1-SUM('OPERATIONS DATA'!J4:J51)/SUM('OPERATIONS DATA'!I4:I51),0)</x:f>
        <x:v>0.8758995682072606</x:v>
      </x:c>
      <x:c r="C7" s="20" t="n">
        <x:v>0.95</x:v>
      </x:c>
      <x:c r="D7" t="str">
        <x:v>Weighted by orders</x:v>
      </x:c>
      <x:c r="F7" t="str">
        <x:v>Workforce coverage</x:v>
      </x:c>
      <x:c r="G7" s="20" t="n">
        <x:v>0.93</x:v>
      </x:c>
      <x:c r="H7" s="20" t="n">
        <x:f>B11</x:f>
        <x:v>0.9</x:v>
      </x:c>
    </x:row>
    <x:row r="8">
      <x:c r="A8" t="str">
        <x:v>Network production yield</x:v>
      </x:c>
      <x:c r="B8" s="20" t="n">
        <x:f>IFERROR(1-SUM('OPERATIONS DATA'!G4:G51)/SUM('OPERATIONS DATA'!F4:F51),0)</x:f>
        <x:v>0.9666996373227827</x:v>
      </x:c>
      <x:c r="C8" s="20" t="n">
        <x:v>0.97</x:v>
      </x:c>
      <x:c r="D8" t="str">
        <x:v>Weighted by units</x:v>
      </x:c>
    </x:row>
    <x:row r="9">
      <x:c r="A9" t="str">
        <x:v>Average plant utilization</x:v>
      </x:c>
      <x:c r="B9" s="20" t="n">
        <x:f>IFERROR(SUM('OPERATIONS DATA'!F4:F51)/SUM('OPERATIONS DATA'!E4:E51),0)</x:f>
        <x:v>0.8551741962769988</x:v>
      </x:c>
      <x:c r="C9" s="20" t="n">
        <x:v>0.9</x:v>
      </x:c>
      <x:c r="D9" t="str">
        <x:v>Capacity weighted</x:v>
      </x:c>
    </x:row>
    <x:row r="10">
      <x:c r="A10" t="str">
        <x:v>Open high risks (score &gt;= 15)</x:v>
      </x:c>
      <x:c r="B10" t="n">
        <x:f>COUNTIFS('ISSUE REGISTER'!G4:G27,"&gt;=15",'ISSUE REGISTER'!D4:D27,"&lt;&gt;Closed")</x:f>
        <x:v>2</x:v>
      </x:c>
      <x:c r="C10" t="n">
        <x:v>0</x:v>
      </x:c>
      <x:c r="D10" t="str">
        <x:v>Requires management review</x:v>
      </x:c>
    </x:row>
    <x:row r="11">
      <x:c r="A11" t="str">
        <x:v>Workforce coverage</x:v>
      </x:c>
      <x:c r="B11" s="20" t="n">
        <x:f>IFERROR(1-SUM('WORKFORCE DATA'!F4:F147)/SUM('WORKFORCE DATA'!E4:E147),0)</x:f>
        <x:v>0.9</x:v>
      </x:c>
      <x:c r="C11" s="20" t="n">
        <x:v>0.93</x:v>
      </x:c>
      <x:c r="D11" t="str">
        <x:v>Scheduled headcount basis</x:v>
      </x:c>
    </x:row>
    <x:row r="12">
      <x:c r="A12" t="str">
        <x:v>Inventory reorder signals</x:v>
      </x:c>
      <x:c r="B12" t="n">
        <x:f>COUNTIF('INVENTORY DATA'!K4:K195,"REORDER")</x:f>
        <x:v>37</x:v>
      </x:c>
      <x:c r="C12" t="n">
        <x:v>0</x:v>
      </x:c>
      <x:c r="D12" t="str">
        <x:v>SKU-month replenishment exceptions</x:v>
      </x:c>
    </x:row>
    <x:row r="15">
      <x:c r="A15" s="99" t="str">
        <x:v>EXECUTIVE REVIEW</x:v>
      </x:c>
      <x:c r="B15" s="99" t="str">
        <x:v>Cadence</x:v>
      </x:c>
      <x:c r="C15" s="99" t="str">
        <x:v>Accountable</x:v>
      </x:c>
      <x:c r="D15" s="99" t="str">
        <x:v>Action</x:v>
      </x:c>
    </x:row>
    <x:row r="16">
      <x:c r="A16" t="str">
        <x:v>Network performance</x:v>
      </x:c>
      <x:c r="B16" t="str">
        <x:v>Weekly</x:v>
      </x:c>
      <x:c r="C16" t="str">
        <x:v>COO</x:v>
      </x:c>
      <x:c r="D16" t="str">
        <x:v>Review low-yield / late-order facilities</x:v>
      </x:c>
    </x:row>
    <x:row r="17">
      <x:c r="A17" t="str">
        <x:v>Cash &amp; profitability</x:v>
      </x:c>
      <x:c r="B17" t="str">
        <x:v>Monthly</x:v>
      </x:c>
      <x:c r="C17" t="str">
        <x:v>CFO</x:v>
      </x:c>
      <x:c r="D17" t="str">
        <x:v>Validate cost variance and operating margin</x:v>
      </x:c>
    </x:row>
    <x:row r="18">
      <x:c r="A18" t="str">
        <x:v>Supply exposure</x:v>
      </x:c>
      <x:c r="B18" t="str">
        <x:v>Weekly</x:v>
      </x:c>
      <x:c r="C18" t="str">
        <x:v>Supply Chain</x:v>
      </x:c>
      <x:c r="D18" t="str">
        <x:v>Resolve reorder signals before stockouts</x:v>
      </x:c>
    </x:row>
    <x:row r="19">
      <x:c r="A19" t="str">
        <x:v>Critical risk</x:v>
      </x:c>
      <x:c r="B19" t="str">
        <x:v>Daily</x:v>
      </x:c>
      <x:c r="C19" t="str">
        <x:v>Plant leadership</x:v>
      </x:c>
      <x:c r="D19" t="str">
        <x:v>Escalate open issues with score ≥ 15</x:v>
      </x:c>
    </x:row>
  </x:sheetData>
  <x:pageMargins left="0.7" right="0.7" top="0.75" bottom="0.75" header="0.3" footer="0.3"/>
  <x:drawing xmlns:r="http://schemas.openxmlformats.org/officeDocument/2006/relationships" r:id="R61ef44e28d694179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36" customHeight="1">
      <x:c r="A1" s="97" t="str">
        <x:v>VECTRA | Operating guide</x:v>
      </x:c>
      <x:c r="B1" s="97"/>
      <x:c r="C1" s="97"/>
      <x:c r="D1" s="97"/>
    </x:row>
    <x:row r="3" ht="26" customHeight="1">
      <x:c r="A3" s="99" t="str">
        <x:v>Sequence</x:v>
      </x:c>
      <x:c r="B3" s="99" t="str">
        <x:v>Action</x:v>
      </x:c>
      <x:c r="C3" s="99" t="str">
        <x:v>Where</x:v>
      </x:c>
      <x:c r="D3" s="99" t="str">
        <x:v>Control / expected outcome</x:v>
      </x:c>
    </x:row>
    <x:row r="4">
      <x:c r="A4" t="str">
        <x:v>01</x:v>
      </x:c>
      <x:c r="B4" t="str">
        <x:v>Read assumptions and scope</x:v>
      </x:c>
      <x:c r="C4" t="str">
        <x:v>START HERE</x:v>
      </x:c>
      <x:c r="D4" t="str">
        <x:v>All records are simulated; not live enterprise data</x:v>
      </x:c>
    </x:row>
    <x:row r="5">
      <x:c r="A5" t="str">
        <x:v>02</x:v>
      </x:c>
      <x:c r="B5" t="str">
        <x:v>Review enterprise scorecard</x:v>
      </x:c>
      <x:c r="C5" t="str">
        <x:v>EXECUTIVE COCKPIT</x:v>
      </x:c>
      <x:c r="D5" t="str">
        <x:v>Identify performance and risk exceptions</x:v>
      </x:c>
    </x:row>
    <x:row r="6">
      <x:c r="A6" t="str">
        <x:v>03</x:v>
      </x:c>
      <x:c r="B6" t="str">
        <x:v>Inspect monthly P&amp;L</x:v>
      </x:c>
      <x:c r="C6" t="str">
        <x:v>FINANCE DATA</x:v>
      </x:c>
      <x:c r="D6" t="str">
        <x:v>Revenue, costs, profit and margin recalculate</x:v>
      </x:c>
    </x:row>
    <x:row r="7">
      <x:c r="A7" t="str">
        <x:v>04</x:v>
      </x:c>
      <x:c r="B7" t="str">
        <x:v>Review throughput and delivery</x:v>
      </x:c>
      <x:c r="C7" t="str">
        <x:v>OPERATIONS DATA</x:v>
      </x:c>
      <x:c r="D7" t="str">
        <x:v>Yield, OTD and utilization are calculated</x:v>
      </x:c>
    </x:row>
    <x:row r="8">
      <x:c r="A8" t="str">
        <x:v>05</x:v>
      </x:c>
      <x:c r="B8" t="str">
        <x:v>Investigate staffing coverage</x:v>
      </x:c>
      <x:c r="C8" t="str">
        <x:v>WORKFORCE DATA</x:v>
      </x:c>
      <x:c r="D8" t="str">
        <x:v>Coverage and exception flags by shift</x:v>
      </x:c>
    </x:row>
    <x:row r="9">
      <x:c r="A9" t="str">
        <x:v>06</x:v>
      </x:c>
      <x:c r="B9" t="str">
        <x:v>Identify material shortages</x:v>
      </x:c>
      <x:c r="C9" t="str">
        <x:v>INVENTORY DATA</x:v>
      </x:c>
      <x:c r="D9" t="str">
        <x:v>Reorder point and reorder flags</x:v>
      </x:c>
    </x:row>
    <x:row r="10">
      <x:c r="A10" t="str">
        <x:v>07</x:v>
      </x:c>
      <x:c r="B10" t="str">
        <x:v>Review escalation queue</x:v>
      </x:c>
      <x:c r="C10" t="str">
        <x:v>ISSUE REGISTER</x:v>
      </x:c>
      <x:c r="D10" t="str">
        <x:v>Update status and accountable owner</x:v>
      </x:c>
    </x:row>
    <x:row r="11">
      <x:c r="A11" t="str">
        <x:v>08</x:v>
      </x:c>
      <x:c r="B11" t="str">
        <x:v>Model alternative conditions</x:v>
      </x:c>
      <x:c r="C11" t="str">
        <x:v>SCENARIO ENGINE</x:v>
      </x:c>
      <x:c r="D11" t="str">
        <x:v>Select scenario per assumption</x:v>
      </x:c>
    </x:row>
    <x:row r="12">
      <x:c r="A12" t="str">
        <x:v>09</x:v>
      </x:c>
      <x:c r="B12" t="str">
        <x:v>Review national plant footprint</x:v>
      </x:c>
      <x:c r="C12" t="str">
        <x:v>GEO INTELLIGENCE</x:v>
      </x:c>
      <x:c r="D12" t="str">
        <x:v>Static map and site metrics; 3D Maps requires desktop Excel</x:v>
      </x:c>
    </x:row>
    <x:row r="13">
      <x:c r="A13" t="str">
        <x:v>10</x:v>
      </x:c>
      <x:c r="B13" t="str">
        <x:v>Publish reviewed version</x:v>
      </x:c>
      <x:c r="C13" t="str">
        <x:v>GitHub</x:v>
      </x:c>
      <x:c r="D13" t="str">
        <x:v>Upload workbook, user manual and verified screenshots</x:v>
      </x:c>
    </x:row>
    <x:row r="17">
      <x:c r="A17" s="99" t="str">
        <x:v>GOVERNANCE</x:v>
      </x:c>
      <x:c r="B17" s="99" t="str">
        <x:v>Classification</x:v>
      </x:c>
      <x:c r="C17" s="99" t="str">
        <x:v>Data owner</x:v>
      </x:c>
      <x:c r="D17" s="99" t="str">
        <x:v>Refresh policy</x:v>
      </x:c>
    </x:row>
    <x:row r="18">
      <x:c r="A18" t="str">
        <x:v>Simulation only</x:v>
      </x:c>
      <x:c r="B18" t="str">
        <x:v>Demonstration</x:v>
      </x:c>
      <x:c r="C18" t="str">
        <x:v>Portfolio project</x:v>
      </x:c>
      <x:c r="D18" t="str">
        <x:v>No external feeds</x:v>
      </x:c>
    </x:row>
    <x:row r="19">
      <x:c r="A19" t="str">
        <x:v>Formula outputs</x:v>
      </x:c>
      <x:c r="B19" t="str">
        <x:v>Calculated</x:v>
      </x:c>
      <x:c r="C19" t="str">
        <x:v>Workbook model</x:v>
      </x:c>
      <x:c r="D19" t="str">
        <x:v>Do not overwrite formula columns</x:v>
      </x:c>
    </x:row>
    <x:row r="20">
      <x:c r="A20" t="str">
        <x:v>Scenario inputs</x:v>
      </x:c>
      <x:c r="B20" t="str">
        <x:v>Editable</x:v>
      </x:c>
      <x:c r="C20" t="str">
        <x:v>Business user</x:v>
      </x:c>
      <x:c r="D20" t="str">
        <x:v>Use approved dropdown values</x:v>
      </x:c>
    </x:row>
  </x:sheetData>
  <x:pageMargins left="0.7" right="0.7" top="0.75" bottom="0.75" header="0.3" footer="0.3"/>
</x:worksheet>
</file>